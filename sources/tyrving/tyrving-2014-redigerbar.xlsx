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menarmond/Library/CloudStorage/Dropbox/Documents/SANDER/TRENING_SANDER/"/>
    </mc:Choice>
  </mc:AlternateContent>
  <xr:revisionPtr revIDLastSave="0" documentId="13_ncr:1_{5B681AF5-B116-C24F-80A3-5C4BB6F39ED1}" xr6:coauthVersionLast="47" xr6:coauthVersionMax="47" xr10:uidLastSave="{00000000-0000-0000-0000-000000000000}"/>
  <bookViews>
    <workbookView showHorizontalScroll="0" showVerticalScroll="0" xWindow="0" yWindow="740" windowWidth="29400" windowHeight="18380" activeTab="1" xr2:uid="{00000000-000D-0000-FFFF-FFFF00000000}"/>
  </bookViews>
  <sheets>
    <sheet name="Forside" sheetId="1" r:id="rId1"/>
    <sheet name="Gutter 19 år" sheetId="2" r:id="rId2"/>
    <sheet name="Jenter 19 år" sheetId="3" r:id="rId3"/>
    <sheet name="Gutter 18 år" sheetId="5" r:id="rId4"/>
    <sheet name="Jenter 18 år" sheetId="6" r:id="rId5"/>
    <sheet name="Gutter 17 år" sheetId="11" r:id="rId6"/>
    <sheet name="Jenter 17 år" sheetId="14" r:id="rId7"/>
    <sheet name="Gutter 16 år" sheetId="18" r:id="rId8"/>
    <sheet name="Jenter 16 år" sheetId="21" r:id="rId9"/>
    <sheet name="Gutter 15 år" sheetId="20" r:id="rId10"/>
    <sheet name="Jenter 15 år" sheetId="19" r:id="rId11"/>
    <sheet name="Gutter 14 år" sheetId="17" r:id="rId12"/>
    <sheet name="Jenter 14 år" sheetId="16" r:id="rId13"/>
    <sheet name="Gutter 13 år" sheetId="15" r:id="rId14"/>
    <sheet name="Jenter 13 år" sheetId="12" r:id="rId15"/>
    <sheet name="Gutter 12 år" sheetId="13" r:id="rId16"/>
    <sheet name="Jenter 12 år" sheetId="10" r:id="rId17"/>
    <sheet name="Gutter 11 år" sheetId="9" r:id="rId18"/>
    <sheet name="Jenter 11 år" sheetId="8" r:id="rId19"/>
    <sheet name="Gutter 10 år" sheetId="7" r:id="rId20"/>
    <sheet name="Jenter 10 år" sheetId="4" r:id="rId21"/>
  </sheets>
  <definedNames>
    <definedName name="_xlnm.Print_Area" localSheetId="14">'Jenter 13 år'!$AQ$1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3" i="11" l="1"/>
  <c r="N23" i="11"/>
  <c r="O23" i="11"/>
  <c r="P23" i="11"/>
  <c r="F23" i="11"/>
  <c r="N10" i="10"/>
  <c r="M10" i="10"/>
  <c r="O10" i="10"/>
  <c r="P10" i="10"/>
  <c r="F10" i="10"/>
  <c r="N8" i="10"/>
  <c r="M8" i="10"/>
  <c r="O8" i="10"/>
  <c r="P8" i="10"/>
  <c r="F8" i="10"/>
  <c r="M11" i="10"/>
  <c r="N11" i="10"/>
  <c r="O11" i="10"/>
  <c r="P11" i="10"/>
  <c r="F11" i="10"/>
  <c r="N10" i="13"/>
  <c r="M10" i="13"/>
  <c r="O10" i="13"/>
  <c r="P10" i="13"/>
  <c r="F10" i="13"/>
  <c r="N8" i="13"/>
  <c r="M8" i="13"/>
  <c r="O8" i="13"/>
  <c r="P8" i="13"/>
  <c r="F8" i="13"/>
  <c r="N14" i="12"/>
  <c r="M14" i="12"/>
  <c r="O14" i="12"/>
  <c r="P14" i="12"/>
  <c r="F14" i="12"/>
  <c r="N10" i="12"/>
  <c r="M10" i="12"/>
  <c r="O10" i="12"/>
  <c r="P10" i="12"/>
  <c r="F10" i="12"/>
  <c r="N14" i="15"/>
  <c r="M14" i="15"/>
  <c r="O14" i="15"/>
  <c r="P14" i="15"/>
  <c r="F14" i="15"/>
  <c r="N10" i="15"/>
  <c r="M10" i="15"/>
  <c r="O10" i="15"/>
  <c r="P10" i="15"/>
  <c r="F10" i="15"/>
  <c r="N20" i="19"/>
  <c r="M20" i="19"/>
  <c r="O20" i="19"/>
  <c r="P20" i="19"/>
  <c r="F20" i="19"/>
  <c r="N20" i="20"/>
  <c r="M20" i="20"/>
  <c r="O20" i="20"/>
  <c r="P20" i="20"/>
  <c r="F20" i="20"/>
  <c r="N27" i="14"/>
  <c r="M27" i="14"/>
  <c r="O27" i="14"/>
  <c r="P27" i="14"/>
  <c r="F27" i="14"/>
  <c r="N29" i="11"/>
  <c r="M29" i="11"/>
  <c r="M36" i="14"/>
  <c r="N37" i="21"/>
  <c r="N36" i="21"/>
  <c r="Q37" i="21"/>
  <c r="Q36" i="21"/>
  <c r="I36" i="21"/>
  <c r="M37" i="21"/>
  <c r="O37" i="21"/>
  <c r="P37" i="21"/>
  <c r="F37" i="21"/>
  <c r="M36" i="21"/>
  <c r="O36" i="21"/>
  <c r="P36" i="21"/>
  <c r="F36" i="21"/>
  <c r="I37" i="21"/>
  <c r="N39" i="14"/>
  <c r="N38" i="14"/>
  <c r="M38" i="14"/>
  <c r="M39" i="14"/>
  <c r="Q39" i="14"/>
  <c r="I39" i="14"/>
  <c r="Q38" i="14"/>
  <c r="I38" i="14"/>
  <c r="Q36" i="14"/>
  <c r="N36" i="14"/>
  <c r="O36" i="14"/>
  <c r="P36" i="14"/>
  <c r="F36" i="14"/>
  <c r="N6" i="9"/>
  <c r="M6" i="9"/>
  <c r="O6" i="9"/>
  <c r="P6" i="9"/>
  <c r="F6" i="9"/>
  <c r="N7" i="9"/>
  <c r="M7" i="9"/>
  <c r="O7" i="9"/>
  <c r="P7" i="9"/>
  <c r="F7" i="9"/>
  <c r="M28" i="11"/>
  <c r="N28" i="11"/>
  <c r="O28" i="11"/>
  <c r="P28" i="11"/>
  <c r="F28" i="11"/>
  <c r="N11" i="9"/>
  <c r="M11" i="9"/>
  <c r="O11" i="9"/>
  <c r="P11" i="9"/>
  <c r="F11" i="9"/>
  <c r="N10" i="9"/>
  <c r="M10" i="9"/>
  <c r="O10" i="9"/>
  <c r="P10" i="9"/>
  <c r="F10" i="9"/>
  <c r="N13" i="11"/>
  <c r="M13" i="11"/>
  <c r="O13" i="11"/>
  <c r="P13" i="11"/>
  <c r="F13" i="11"/>
  <c r="N14" i="11"/>
  <c r="M14" i="11"/>
  <c r="O14" i="11"/>
  <c r="P14" i="11"/>
  <c r="F14" i="11"/>
  <c r="N15" i="11"/>
  <c r="M15" i="11"/>
  <c r="O15" i="11"/>
  <c r="P15" i="11"/>
  <c r="F15" i="11"/>
  <c r="N16" i="11"/>
  <c r="M16" i="11"/>
  <c r="O16" i="11"/>
  <c r="P16" i="11"/>
  <c r="F16" i="11"/>
  <c r="N17" i="11"/>
  <c r="M17" i="11"/>
  <c r="O17" i="11"/>
  <c r="P17" i="11"/>
  <c r="F17" i="11"/>
  <c r="N18" i="11"/>
  <c r="M18" i="11"/>
  <c r="O18" i="11"/>
  <c r="P18" i="11"/>
  <c r="F18" i="11"/>
  <c r="N19" i="11"/>
  <c r="M19" i="11"/>
  <c r="O19" i="11"/>
  <c r="P19" i="11"/>
  <c r="F19" i="11"/>
  <c r="N20" i="11"/>
  <c r="M20" i="11"/>
  <c r="O20" i="11"/>
  <c r="P20" i="11"/>
  <c r="F20" i="11"/>
  <c r="N21" i="11"/>
  <c r="M21" i="11"/>
  <c r="O21" i="11"/>
  <c r="P21" i="11"/>
  <c r="F21" i="11"/>
  <c r="N22" i="11"/>
  <c r="M22" i="11"/>
  <c r="N30" i="11"/>
  <c r="M30" i="11"/>
  <c r="N12" i="11"/>
  <c r="M12" i="11"/>
  <c r="O12" i="11"/>
  <c r="P12" i="11"/>
  <c r="F12" i="11"/>
  <c r="M18" i="2"/>
  <c r="N17" i="9"/>
  <c r="M17" i="9"/>
  <c r="N34" i="11"/>
  <c r="M34" i="11"/>
  <c r="O34" i="11"/>
  <c r="P34" i="11"/>
  <c r="F34" i="11"/>
  <c r="M19" i="13"/>
  <c r="Q36" i="2"/>
  <c r="I36" i="2"/>
  <c r="Q35" i="3"/>
  <c r="I35" i="3"/>
  <c r="Q36" i="5"/>
  <c r="I36" i="5"/>
  <c r="Q35" i="6"/>
  <c r="I35" i="6"/>
  <c r="Q34" i="11"/>
  <c r="I34" i="11"/>
  <c r="Q32" i="14"/>
  <c r="I32" i="14"/>
  <c r="Q30" i="18"/>
  <c r="I30" i="18"/>
  <c r="Q30" i="21"/>
  <c r="I30" i="21"/>
  <c r="Q29" i="20"/>
  <c r="I29" i="20"/>
  <c r="Q29" i="19"/>
  <c r="I29" i="19"/>
  <c r="Q28" i="17"/>
  <c r="I28" i="17"/>
  <c r="Q28" i="16"/>
  <c r="I28" i="16"/>
  <c r="Q21" i="15"/>
  <c r="I21" i="15"/>
  <c r="Q21" i="12"/>
  <c r="I21" i="12"/>
  <c r="Q19" i="13"/>
  <c r="I19" i="13"/>
  <c r="Q14" i="4"/>
  <c r="Q19" i="4"/>
  <c r="I19" i="4"/>
  <c r="Q20" i="4"/>
  <c r="I20" i="4"/>
  <c r="Q21" i="4"/>
  <c r="I21" i="4"/>
  <c r="Q22" i="4"/>
  <c r="I22" i="4"/>
  <c r="Q23" i="4"/>
  <c r="I23" i="4"/>
  <c r="Q18" i="4"/>
  <c r="I18" i="4"/>
  <c r="I14" i="4"/>
  <c r="Q14" i="7"/>
  <c r="I14" i="7"/>
  <c r="Q19" i="7"/>
  <c r="I19" i="7"/>
  <c r="Q20" i="7"/>
  <c r="I20" i="7"/>
  <c r="Q21" i="7"/>
  <c r="I21" i="7"/>
  <c r="Q22" i="7"/>
  <c r="I22" i="7"/>
  <c r="Q23" i="7"/>
  <c r="I23" i="7"/>
  <c r="Q18" i="7"/>
  <c r="I18" i="7"/>
  <c r="M11" i="8"/>
  <c r="N11" i="8"/>
  <c r="O11" i="8"/>
  <c r="P11" i="8"/>
  <c r="F11" i="8"/>
  <c r="Q17" i="8"/>
  <c r="Q22" i="8"/>
  <c r="I22" i="8"/>
  <c r="Q23" i="8"/>
  <c r="I23" i="8"/>
  <c r="Q24" i="8"/>
  <c r="I24" i="8"/>
  <c r="Q25" i="8"/>
  <c r="I25" i="8"/>
  <c r="Q26" i="8"/>
  <c r="I26" i="8"/>
  <c r="I17" i="8"/>
  <c r="Q21" i="8"/>
  <c r="I21" i="8"/>
  <c r="Q17" i="9"/>
  <c r="Q22" i="9"/>
  <c r="I22" i="9"/>
  <c r="Q23" i="9"/>
  <c r="I23" i="9"/>
  <c r="Q24" i="9"/>
  <c r="I24" i="9"/>
  <c r="Q25" i="9"/>
  <c r="I25" i="9"/>
  <c r="Q26" i="9"/>
  <c r="I26" i="9"/>
  <c r="I17" i="9"/>
  <c r="Q21" i="9"/>
  <c r="I21" i="9"/>
  <c r="M28" i="10"/>
  <c r="Q19" i="10"/>
  <c r="Q24" i="10"/>
  <c r="I24" i="10"/>
  <c r="Q25" i="10"/>
  <c r="I25" i="10"/>
  <c r="Q26" i="10"/>
  <c r="I26" i="10"/>
  <c r="Q27" i="10"/>
  <c r="I27" i="10"/>
  <c r="Q28" i="10"/>
  <c r="I28" i="10"/>
  <c r="I19" i="10"/>
  <c r="Q23" i="10"/>
  <c r="I23" i="10"/>
  <c r="M13" i="10"/>
  <c r="N13" i="10"/>
  <c r="O13" i="10"/>
  <c r="P13" i="10"/>
  <c r="F13" i="10"/>
  <c r="M14" i="4"/>
  <c r="M14" i="7"/>
  <c r="M17" i="8"/>
  <c r="M19" i="10"/>
  <c r="Q24" i="13"/>
  <c r="I24" i="13"/>
  <c r="Q25" i="13"/>
  <c r="I25" i="13"/>
  <c r="M25" i="13"/>
  <c r="Q26" i="13"/>
  <c r="I26" i="13"/>
  <c r="Q27" i="13"/>
  <c r="I27" i="13"/>
  <c r="M27" i="13"/>
  <c r="Q28" i="13"/>
  <c r="I28" i="13"/>
  <c r="Q23" i="13"/>
  <c r="I23" i="13"/>
  <c r="M13" i="13"/>
  <c r="N13" i="13"/>
  <c r="O13" i="13"/>
  <c r="P13" i="13"/>
  <c r="F13" i="13"/>
  <c r="I26" i="12"/>
  <c r="I27" i="12"/>
  <c r="I28" i="12"/>
  <c r="I29" i="12"/>
  <c r="I25" i="12"/>
  <c r="M13" i="12"/>
  <c r="N13" i="12"/>
  <c r="O13" i="12"/>
  <c r="P13" i="12"/>
  <c r="F13" i="12"/>
  <c r="M15" i="12"/>
  <c r="N15" i="12"/>
  <c r="O15" i="12"/>
  <c r="P15" i="12"/>
  <c r="F15" i="12"/>
  <c r="M28" i="15"/>
  <c r="Q26" i="15"/>
  <c r="I26" i="15"/>
  <c r="Q27" i="15"/>
  <c r="I27" i="15"/>
  <c r="Q28" i="15"/>
  <c r="I28" i="15"/>
  <c r="Q29" i="15"/>
  <c r="I29" i="15"/>
  <c r="Q25" i="15"/>
  <c r="I25" i="15"/>
  <c r="M13" i="15"/>
  <c r="N13" i="15"/>
  <c r="O13" i="15"/>
  <c r="P13" i="15"/>
  <c r="F13" i="15"/>
  <c r="M15" i="15"/>
  <c r="N15" i="15"/>
  <c r="O15" i="15"/>
  <c r="P15" i="15"/>
  <c r="F15" i="15"/>
  <c r="Q33" i="16"/>
  <c r="I33" i="16"/>
  <c r="Q34" i="16"/>
  <c r="I34" i="16"/>
  <c r="Q35" i="16"/>
  <c r="I35" i="16"/>
  <c r="Q36" i="16"/>
  <c r="I36" i="16"/>
  <c r="Q32" i="16"/>
  <c r="I32" i="16"/>
  <c r="M17" i="16"/>
  <c r="N17" i="16"/>
  <c r="O17" i="16"/>
  <c r="P17" i="16"/>
  <c r="F17" i="16"/>
  <c r="M18" i="16"/>
  <c r="N18" i="16"/>
  <c r="O18" i="16"/>
  <c r="P18" i="16"/>
  <c r="F18" i="16"/>
  <c r="M19" i="16"/>
  <c r="N19" i="16"/>
  <c r="O19" i="16"/>
  <c r="P19" i="16"/>
  <c r="F19" i="16"/>
  <c r="M20" i="16"/>
  <c r="N20" i="16"/>
  <c r="O20" i="16"/>
  <c r="P20" i="16"/>
  <c r="F20" i="16"/>
  <c r="M35" i="17"/>
  <c r="Q33" i="17"/>
  <c r="I33" i="17"/>
  <c r="Q34" i="17"/>
  <c r="I34" i="17"/>
  <c r="Q35" i="17"/>
  <c r="I35" i="17"/>
  <c r="Q36" i="17"/>
  <c r="I36" i="17"/>
  <c r="Q32" i="17"/>
  <c r="I32" i="17"/>
  <c r="M17" i="17"/>
  <c r="N17" i="17"/>
  <c r="O17" i="17"/>
  <c r="P17" i="17"/>
  <c r="F17" i="17"/>
  <c r="M18" i="17"/>
  <c r="N18" i="17"/>
  <c r="O18" i="17"/>
  <c r="P18" i="17"/>
  <c r="F18" i="17"/>
  <c r="M19" i="17"/>
  <c r="N19" i="17"/>
  <c r="O19" i="17"/>
  <c r="P19" i="17"/>
  <c r="F19" i="17"/>
  <c r="M20" i="17"/>
  <c r="N20" i="17"/>
  <c r="O20" i="17"/>
  <c r="P20" i="17"/>
  <c r="F20" i="17"/>
  <c r="Q34" i="19"/>
  <c r="I34" i="19"/>
  <c r="Q35" i="19"/>
  <c r="I35" i="19"/>
  <c r="Q36" i="19"/>
  <c r="I36" i="19"/>
  <c r="Q33" i="19"/>
  <c r="I33" i="19"/>
  <c r="M17" i="19"/>
  <c r="N17" i="19"/>
  <c r="O17" i="19"/>
  <c r="P17" i="19"/>
  <c r="F17" i="19"/>
  <c r="M18" i="19"/>
  <c r="N18" i="19"/>
  <c r="O18" i="19"/>
  <c r="P18" i="19"/>
  <c r="F18" i="19"/>
  <c r="M19" i="19"/>
  <c r="N19" i="19"/>
  <c r="O19" i="19"/>
  <c r="P19" i="19"/>
  <c r="F19" i="19"/>
  <c r="M21" i="19"/>
  <c r="N21" i="19"/>
  <c r="O21" i="19"/>
  <c r="P21" i="19"/>
  <c r="F21" i="19"/>
  <c r="Q34" i="20"/>
  <c r="I34" i="20"/>
  <c r="Q35" i="20"/>
  <c r="I35" i="20"/>
  <c r="Q36" i="20"/>
  <c r="I36" i="20"/>
  <c r="Q33" i="20"/>
  <c r="I33" i="20"/>
  <c r="M17" i="20"/>
  <c r="N17" i="20"/>
  <c r="O17" i="20"/>
  <c r="P17" i="20"/>
  <c r="F17" i="20"/>
  <c r="M18" i="20"/>
  <c r="N18" i="20"/>
  <c r="O18" i="20"/>
  <c r="P18" i="20"/>
  <c r="F18" i="20"/>
  <c r="M19" i="20"/>
  <c r="N19" i="20"/>
  <c r="O19" i="20"/>
  <c r="P19" i="20"/>
  <c r="F19" i="20"/>
  <c r="M21" i="20"/>
  <c r="N21" i="20"/>
  <c r="O21" i="20"/>
  <c r="P21" i="20"/>
  <c r="F21" i="20"/>
  <c r="Q35" i="21"/>
  <c r="I35" i="21"/>
  <c r="Q34" i="21"/>
  <c r="I34" i="21"/>
  <c r="M18" i="21"/>
  <c r="N18" i="21"/>
  <c r="O18" i="21"/>
  <c r="P18" i="21"/>
  <c r="F18" i="21"/>
  <c r="M19" i="21"/>
  <c r="N19" i="21"/>
  <c r="O19" i="21"/>
  <c r="P19" i="21"/>
  <c r="F19" i="21"/>
  <c r="M20" i="21"/>
  <c r="N20" i="21"/>
  <c r="O20" i="21"/>
  <c r="P20" i="21"/>
  <c r="F20" i="21"/>
  <c r="M21" i="21"/>
  <c r="N21" i="21"/>
  <c r="M22" i="21"/>
  <c r="N22" i="21"/>
  <c r="O22" i="21"/>
  <c r="P22" i="21"/>
  <c r="F22" i="21"/>
  <c r="Q35" i="18"/>
  <c r="I35" i="18"/>
  <c r="Q36" i="18"/>
  <c r="I36" i="18"/>
  <c r="Q37" i="18"/>
  <c r="I37" i="18"/>
  <c r="Q34" i="18"/>
  <c r="I34" i="18"/>
  <c r="M18" i="18"/>
  <c r="N18" i="18"/>
  <c r="O18" i="18"/>
  <c r="P18" i="18"/>
  <c r="F18" i="18"/>
  <c r="M19" i="18"/>
  <c r="N19" i="18"/>
  <c r="O19" i="18"/>
  <c r="P19" i="18"/>
  <c r="F19" i="18"/>
  <c r="M20" i="18"/>
  <c r="N20" i="18"/>
  <c r="O20" i="18"/>
  <c r="P20" i="18"/>
  <c r="F20" i="18"/>
  <c r="M21" i="18"/>
  <c r="N21" i="18"/>
  <c r="O21" i="18"/>
  <c r="P21" i="18"/>
  <c r="F21" i="18"/>
  <c r="M22" i="18"/>
  <c r="N22" i="18"/>
  <c r="O22" i="18"/>
  <c r="P22" i="18"/>
  <c r="F22" i="18"/>
  <c r="Q37" i="14"/>
  <c r="I37" i="14"/>
  <c r="M32" i="14"/>
  <c r="M19" i="14"/>
  <c r="N19" i="14"/>
  <c r="O19" i="14"/>
  <c r="P19" i="14"/>
  <c r="F19" i="14"/>
  <c r="M20" i="14"/>
  <c r="N20" i="14"/>
  <c r="O20" i="14"/>
  <c r="P20" i="14"/>
  <c r="F20" i="14"/>
  <c r="M21" i="14"/>
  <c r="N21" i="14"/>
  <c r="O21" i="14"/>
  <c r="P21" i="14"/>
  <c r="F21" i="14"/>
  <c r="M22" i="14"/>
  <c r="N22" i="14"/>
  <c r="O22" i="14"/>
  <c r="P22" i="14"/>
  <c r="F22" i="14"/>
  <c r="M23" i="14"/>
  <c r="N23" i="14"/>
  <c r="O23" i="14"/>
  <c r="P23" i="14"/>
  <c r="F23" i="14"/>
  <c r="Q39" i="11"/>
  <c r="I39" i="11"/>
  <c r="Q40" i="11"/>
  <c r="I40" i="11"/>
  <c r="Q41" i="11"/>
  <c r="I41" i="11"/>
  <c r="Q38" i="11"/>
  <c r="I38" i="11"/>
  <c r="Q40" i="6"/>
  <c r="I40" i="6"/>
  <c r="Q41" i="6"/>
  <c r="I41" i="6"/>
  <c r="Q42" i="6"/>
  <c r="I42" i="6"/>
  <c r="Q39" i="6"/>
  <c r="I39" i="6"/>
  <c r="M20" i="6"/>
  <c r="N20" i="6"/>
  <c r="O20" i="6"/>
  <c r="P20" i="6"/>
  <c r="F20" i="6"/>
  <c r="M21" i="6"/>
  <c r="N21" i="6"/>
  <c r="O21" i="6"/>
  <c r="P21" i="6"/>
  <c r="F21" i="6"/>
  <c r="M22" i="6"/>
  <c r="N22" i="6"/>
  <c r="O22" i="6"/>
  <c r="P22" i="6"/>
  <c r="F22" i="6"/>
  <c r="M23" i="6"/>
  <c r="N23" i="6"/>
  <c r="O23" i="6"/>
  <c r="P23" i="6"/>
  <c r="F23" i="6"/>
  <c r="M24" i="6"/>
  <c r="N24" i="6"/>
  <c r="O24" i="6"/>
  <c r="P24" i="6"/>
  <c r="F24" i="6"/>
  <c r="M25" i="6"/>
  <c r="N25" i="6"/>
  <c r="O25" i="6"/>
  <c r="P25" i="6"/>
  <c r="F25" i="6"/>
  <c r="N20" i="5"/>
  <c r="N21" i="5"/>
  <c r="N22" i="5"/>
  <c r="M22" i="5"/>
  <c r="O22" i="5"/>
  <c r="P22" i="5"/>
  <c r="F22" i="5"/>
  <c r="N23" i="5"/>
  <c r="N24" i="5"/>
  <c r="N25" i="5"/>
  <c r="M20" i="5"/>
  <c r="O20" i="5"/>
  <c r="P20" i="5"/>
  <c r="F20" i="5"/>
  <c r="M21" i="5"/>
  <c r="O21" i="5"/>
  <c r="P21" i="5"/>
  <c r="F21" i="5"/>
  <c r="M23" i="5"/>
  <c r="O23" i="5"/>
  <c r="P23" i="5"/>
  <c r="F23" i="5"/>
  <c r="M24" i="5"/>
  <c r="O24" i="5"/>
  <c r="P24" i="5"/>
  <c r="F24" i="5"/>
  <c r="M25" i="5"/>
  <c r="O25" i="5"/>
  <c r="P25" i="5"/>
  <c r="F25" i="5"/>
  <c r="Q41" i="5"/>
  <c r="I41" i="5"/>
  <c r="Q42" i="5"/>
  <c r="I42" i="5"/>
  <c r="Q43" i="5"/>
  <c r="I43" i="5"/>
  <c r="Q40" i="5"/>
  <c r="I40" i="5"/>
  <c r="M36" i="2"/>
  <c r="M20" i="3"/>
  <c r="N20" i="3"/>
  <c r="O20" i="3"/>
  <c r="P20" i="3"/>
  <c r="F20" i="3"/>
  <c r="M21" i="3"/>
  <c r="N21" i="3"/>
  <c r="O21" i="3"/>
  <c r="P21" i="3"/>
  <c r="F21" i="3"/>
  <c r="M22" i="3"/>
  <c r="N22" i="3"/>
  <c r="O22" i="3"/>
  <c r="P22" i="3"/>
  <c r="F22" i="3"/>
  <c r="M23" i="3"/>
  <c r="N23" i="3"/>
  <c r="O23" i="3"/>
  <c r="P23" i="3"/>
  <c r="F23" i="3"/>
  <c r="M24" i="3"/>
  <c r="N24" i="3"/>
  <c r="O24" i="3"/>
  <c r="P24" i="3"/>
  <c r="F24" i="3"/>
  <c r="M25" i="3"/>
  <c r="N25" i="3"/>
  <c r="O25" i="3"/>
  <c r="P25" i="3"/>
  <c r="F25" i="3"/>
  <c r="Q40" i="3"/>
  <c r="I40" i="3"/>
  <c r="Q41" i="3"/>
  <c r="I41" i="3"/>
  <c r="Q42" i="3"/>
  <c r="I42" i="3"/>
  <c r="Q39" i="3"/>
  <c r="I39" i="3"/>
  <c r="Q41" i="2"/>
  <c r="I41" i="2"/>
  <c r="Q42" i="2"/>
  <c r="I42" i="2"/>
  <c r="Q43" i="2"/>
  <c r="I43" i="2"/>
  <c r="Q40" i="2"/>
  <c r="I40" i="2"/>
  <c r="N20" i="2"/>
  <c r="M20" i="2"/>
  <c r="O20" i="2"/>
  <c r="P20" i="2"/>
  <c r="F20" i="2"/>
  <c r="N21" i="2"/>
  <c r="M21" i="2"/>
  <c r="O21" i="2"/>
  <c r="P21" i="2"/>
  <c r="F21" i="2"/>
  <c r="N22" i="2"/>
  <c r="M22" i="2"/>
  <c r="O22" i="2"/>
  <c r="P22" i="2"/>
  <c r="F22" i="2"/>
  <c r="N23" i="2"/>
  <c r="N24" i="2"/>
  <c r="N25" i="2"/>
  <c r="M23" i="2"/>
  <c r="O23" i="2"/>
  <c r="P23" i="2"/>
  <c r="F23" i="2"/>
  <c r="M24" i="2"/>
  <c r="O24" i="2"/>
  <c r="P24" i="2"/>
  <c r="F24" i="2"/>
  <c r="M25" i="2"/>
  <c r="O25" i="2"/>
  <c r="P25" i="2"/>
  <c r="F25" i="2"/>
  <c r="M11" i="16"/>
  <c r="N11" i="16"/>
  <c r="O11" i="16"/>
  <c r="P11" i="16"/>
  <c r="F11" i="16"/>
  <c r="M7" i="19"/>
  <c r="N7" i="19"/>
  <c r="O7" i="19"/>
  <c r="P7" i="19"/>
  <c r="F7" i="19"/>
  <c r="M30" i="21"/>
  <c r="M7" i="21"/>
  <c r="N7" i="21"/>
  <c r="O7" i="21"/>
  <c r="P7" i="21"/>
  <c r="F7" i="21"/>
  <c r="M7" i="14"/>
  <c r="N7" i="14"/>
  <c r="O7" i="14"/>
  <c r="P7" i="14"/>
  <c r="F7" i="14"/>
  <c r="M7" i="6"/>
  <c r="N7" i="6"/>
  <c r="O7" i="6"/>
  <c r="P7" i="6"/>
  <c r="F7" i="6"/>
  <c r="M7" i="3"/>
  <c r="N7" i="3"/>
  <c r="O7" i="3"/>
  <c r="P7" i="3"/>
  <c r="F7" i="3"/>
  <c r="M11" i="17"/>
  <c r="N11" i="17"/>
  <c r="O11" i="17"/>
  <c r="P11" i="17"/>
  <c r="F11" i="17"/>
  <c r="M7" i="20"/>
  <c r="N7" i="20"/>
  <c r="O7" i="20"/>
  <c r="P7" i="20"/>
  <c r="F7" i="20"/>
  <c r="N7" i="18"/>
  <c r="M7" i="18"/>
  <c r="N7" i="11"/>
  <c r="M7" i="11"/>
  <c r="O7" i="11"/>
  <c r="P7" i="11"/>
  <c r="F7" i="11"/>
  <c r="N7" i="5"/>
  <c r="M7" i="5"/>
  <c r="N7" i="2"/>
  <c r="M7" i="2"/>
  <c r="O7" i="2" s="1"/>
  <c r="P7" i="2" s="1"/>
  <c r="F7" i="2" s="1"/>
  <c r="N43" i="2"/>
  <c r="M43" i="2"/>
  <c r="N42" i="2"/>
  <c r="M42" i="2"/>
  <c r="N41" i="2"/>
  <c r="M41" i="2"/>
  <c r="N40" i="2"/>
  <c r="M40" i="2"/>
  <c r="N36" i="2"/>
  <c r="N42" i="3"/>
  <c r="M42" i="3"/>
  <c r="O42" i="3"/>
  <c r="P42" i="3"/>
  <c r="F42" i="3"/>
  <c r="N41" i="3"/>
  <c r="M41" i="3"/>
  <c r="N40" i="3"/>
  <c r="M40" i="3"/>
  <c r="N39" i="3"/>
  <c r="M39" i="3"/>
  <c r="N35" i="3"/>
  <c r="M35" i="3"/>
  <c r="N43" i="5"/>
  <c r="M43" i="5"/>
  <c r="O43" i="5"/>
  <c r="P43" i="5"/>
  <c r="F43" i="5"/>
  <c r="N42" i="5"/>
  <c r="M42" i="5"/>
  <c r="N41" i="5"/>
  <c r="M41" i="5"/>
  <c r="N40" i="5"/>
  <c r="M40" i="5"/>
  <c r="O40" i="5"/>
  <c r="P40" i="5"/>
  <c r="F40" i="5"/>
  <c r="N36" i="5"/>
  <c r="M36" i="5"/>
  <c r="O36" i="5"/>
  <c r="P36" i="5"/>
  <c r="F36" i="5"/>
  <c r="N42" i="6"/>
  <c r="M42" i="6"/>
  <c r="O42" i="6"/>
  <c r="P42" i="6"/>
  <c r="F42" i="6"/>
  <c r="N41" i="6"/>
  <c r="M41" i="6"/>
  <c r="N40" i="6"/>
  <c r="M40" i="6"/>
  <c r="N39" i="6"/>
  <c r="M39" i="6"/>
  <c r="N35" i="6"/>
  <c r="M35" i="6"/>
  <c r="N41" i="11"/>
  <c r="M41" i="11"/>
  <c r="O41" i="11"/>
  <c r="P41" i="11"/>
  <c r="F41" i="11"/>
  <c r="N40" i="11"/>
  <c r="M40" i="11"/>
  <c r="O40" i="11"/>
  <c r="P40" i="11"/>
  <c r="F40" i="11"/>
  <c r="N39" i="11"/>
  <c r="M39" i="11"/>
  <c r="O39" i="11"/>
  <c r="P39" i="11"/>
  <c r="F39" i="11"/>
  <c r="N38" i="11"/>
  <c r="M38" i="11"/>
  <c r="N37" i="14"/>
  <c r="M37" i="14"/>
  <c r="N32" i="14"/>
  <c r="O32" i="14"/>
  <c r="P32" i="14"/>
  <c r="F32" i="14"/>
  <c r="N37" i="18"/>
  <c r="M37" i="18"/>
  <c r="O37" i="18"/>
  <c r="N36" i="18"/>
  <c r="M36" i="18"/>
  <c r="O36" i="18"/>
  <c r="P36" i="18"/>
  <c r="F36" i="18"/>
  <c r="N35" i="18"/>
  <c r="M35" i="18"/>
  <c r="N34" i="18"/>
  <c r="M34" i="18"/>
  <c r="N30" i="18"/>
  <c r="M30" i="18"/>
  <c r="O30" i="18"/>
  <c r="P30" i="18"/>
  <c r="F30" i="18"/>
  <c r="N35" i="21"/>
  <c r="M35" i="21"/>
  <c r="O35" i="21"/>
  <c r="P35" i="21"/>
  <c r="F35" i="21"/>
  <c r="N34" i="21"/>
  <c r="M34" i="21"/>
  <c r="O34" i="21"/>
  <c r="P34" i="21"/>
  <c r="F34" i="21"/>
  <c r="N30" i="21"/>
  <c r="N36" i="20"/>
  <c r="M36" i="20"/>
  <c r="N35" i="20"/>
  <c r="M35" i="20"/>
  <c r="N34" i="20"/>
  <c r="M34" i="20"/>
  <c r="N33" i="20"/>
  <c r="M33" i="20"/>
  <c r="N29" i="20"/>
  <c r="M29" i="20"/>
  <c r="O29" i="20"/>
  <c r="N36" i="19"/>
  <c r="M36" i="19"/>
  <c r="N35" i="19"/>
  <c r="M35" i="19"/>
  <c r="N34" i="19"/>
  <c r="M34" i="19"/>
  <c r="N33" i="19"/>
  <c r="M33" i="19"/>
  <c r="N29" i="19"/>
  <c r="M29" i="19"/>
  <c r="N36" i="17"/>
  <c r="M36" i="17"/>
  <c r="N35" i="17"/>
  <c r="N34" i="17"/>
  <c r="M34" i="17"/>
  <c r="N33" i="17"/>
  <c r="M33" i="17"/>
  <c r="N32" i="17"/>
  <c r="M32" i="17"/>
  <c r="O32" i="17"/>
  <c r="P32" i="17"/>
  <c r="F32" i="17"/>
  <c r="N28" i="17"/>
  <c r="M28" i="17"/>
  <c r="N36" i="16"/>
  <c r="M36" i="16"/>
  <c r="N35" i="16"/>
  <c r="M35" i="16"/>
  <c r="N34" i="16"/>
  <c r="M34" i="16"/>
  <c r="O34" i="16"/>
  <c r="P34" i="16"/>
  <c r="F34" i="16"/>
  <c r="N33" i="16"/>
  <c r="M33" i="16"/>
  <c r="N32" i="16"/>
  <c r="M32" i="16"/>
  <c r="N28" i="16"/>
  <c r="M28" i="16"/>
  <c r="N29" i="15"/>
  <c r="M29" i="15"/>
  <c r="N28" i="15"/>
  <c r="N27" i="15"/>
  <c r="M27" i="15"/>
  <c r="O27" i="15"/>
  <c r="P27" i="15"/>
  <c r="F27" i="15"/>
  <c r="N26" i="15"/>
  <c r="M26" i="15"/>
  <c r="N25" i="15"/>
  <c r="M25" i="15"/>
  <c r="N21" i="15"/>
  <c r="M21" i="15"/>
  <c r="O21" i="15"/>
  <c r="P21" i="15"/>
  <c r="F21" i="15"/>
  <c r="N29" i="12"/>
  <c r="M29" i="12"/>
  <c r="N28" i="12"/>
  <c r="M28" i="12"/>
  <c r="N27" i="12"/>
  <c r="M27" i="12"/>
  <c r="N26" i="12"/>
  <c r="M26" i="12"/>
  <c r="O26" i="12"/>
  <c r="P26" i="12"/>
  <c r="F26" i="12"/>
  <c r="N25" i="12"/>
  <c r="M25" i="12"/>
  <c r="N21" i="12"/>
  <c r="M21" i="12"/>
  <c r="N28" i="13"/>
  <c r="M28" i="13"/>
  <c r="N27" i="13"/>
  <c r="N26" i="13"/>
  <c r="M26" i="13"/>
  <c r="N25" i="13"/>
  <c r="N24" i="13"/>
  <c r="M24" i="13"/>
  <c r="N23" i="13"/>
  <c r="M23" i="13"/>
  <c r="O23" i="13"/>
  <c r="P23" i="13"/>
  <c r="F23" i="13"/>
  <c r="N19" i="13"/>
  <c r="N28" i="10"/>
  <c r="N27" i="10"/>
  <c r="M27" i="10"/>
  <c r="N26" i="10"/>
  <c r="M26" i="10"/>
  <c r="N25" i="10"/>
  <c r="M25" i="10"/>
  <c r="N24" i="10"/>
  <c r="M24" i="10"/>
  <c r="N23" i="10"/>
  <c r="M23" i="10"/>
  <c r="N19" i="10"/>
  <c r="N26" i="9"/>
  <c r="M26" i="9"/>
  <c r="N25" i="9"/>
  <c r="M25" i="9"/>
  <c r="O25" i="9"/>
  <c r="P25" i="9"/>
  <c r="F25" i="9"/>
  <c r="N24" i="9"/>
  <c r="M24" i="9"/>
  <c r="N23" i="9"/>
  <c r="M23" i="9"/>
  <c r="N22" i="9"/>
  <c r="M22" i="9"/>
  <c r="N21" i="9"/>
  <c r="M21" i="9"/>
  <c r="N26" i="8"/>
  <c r="M26" i="8"/>
  <c r="O26" i="8"/>
  <c r="N25" i="8"/>
  <c r="M25" i="8"/>
  <c r="N24" i="8"/>
  <c r="M24" i="8"/>
  <c r="N23" i="8"/>
  <c r="M23" i="8"/>
  <c r="O23" i="8"/>
  <c r="P23" i="8"/>
  <c r="F23" i="8"/>
  <c r="N22" i="8"/>
  <c r="M22" i="8"/>
  <c r="N21" i="8"/>
  <c r="M21" i="8"/>
  <c r="N17" i="8"/>
  <c r="N23" i="4"/>
  <c r="M23" i="4"/>
  <c r="O23" i="4"/>
  <c r="P23" i="4"/>
  <c r="F23" i="4"/>
  <c r="N22" i="4"/>
  <c r="M22" i="4"/>
  <c r="O22" i="4"/>
  <c r="P22" i="4"/>
  <c r="F22" i="4"/>
  <c r="N21" i="4"/>
  <c r="M21" i="4"/>
  <c r="O21" i="4"/>
  <c r="P21" i="4"/>
  <c r="F21" i="4"/>
  <c r="N20" i="4"/>
  <c r="M20" i="4"/>
  <c r="N19" i="4"/>
  <c r="M19" i="4"/>
  <c r="O19" i="4"/>
  <c r="P19" i="4"/>
  <c r="F19" i="4"/>
  <c r="N18" i="4"/>
  <c r="M18" i="4"/>
  <c r="O18" i="4"/>
  <c r="P18" i="4"/>
  <c r="F18" i="4"/>
  <c r="N14" i="4"/>
  <c r="O14" i="4"/>
  <c r="P14" i="4"/>
  <c r="F14" i="4"/>
  <c r="N14" i="7"/>
  <c r="O14" i="7"/>
  <c r="P14" i="7"/>
  <c r="F14" i="7"/>
  <c r="N18" i="7"/>
  <c r="M18" i="7"/>
  <c r="O18" i="7"/>
  <c r="P18" i="7"/>
  <c r="F18" i="7"/>
  <c r="M19" i="7"/>
  <c r="N19" i="7"/>
  <c r="N21" i="7"/>
  <c r="M21" i="7"/>
  <c r="O21" i="7"/>
  <c r="P21" i="7"/>
  <c r="F21" i="7"/>
  <c r="N22" i="7"/>
  <c r="M22" i="7"/>
  <c r="N23" i="7"/>
  <c r="M23" i="7"/>
  <c r="M20" i="7"/>
  <c r="N20" i="7"/>
  <c r="O20" i="7"/>
  <c r="P20" i="7"/>
  <c r="F20" i="7"/>
  <c r="N17" i="4"/>
  <c r="M17" i="4"/>
  <c r="N16" i="4"/>
  <c r="M16" i="4"/>
  <c r="N15" i="4"/>
  <c r="M15" i="4"/>
  <c r="O15" i="4"/>
  <c r="P15" i="4"/>
  <c r="F15" i="4"/>
  <c r="N13" i="4"/>
  <c r="M13" i="4"/>
  <c r="O13" i="4"/>
  <c r="P13" i="4"/>
  <c r="F13" i="4"/>
  <c r="N12" i="4"/>
  <c r="M12" i="4"/>
  <c r="O12" i="4"/>
  <c r="P12" i="4"/>
  <c r="F12" i="4"/>
  <c r="N10" i="4"/>
  <c r="M10" i="4"/>
  <c r="N9" i="4"/>
  <c r="M9" i="4"/>
  <c r="O9" i="4"/>
  <c r="P9" i="4"/>
  <c r="F9" i="4"/>
  <c r="N8" i="4"/>
  <c r="M8" i="4"/>
  <c r="O8" i="4"/>
  <c r="P8" i="4"/>
  <c r="F8" i="4"/>
  <c r="N7" i="4"/>
  <c r="M7" i="4"/>
  <c r="O7" i="4"/>
  <c r="P7" i="4"/>
  <c r="F7" i="4"/>
  <c r="N6" i="4"/>
  <c r="M6" i="4"/>
  <c r="O6" i="4"/>
  <c r="P6" i="4"/>
  <c r="F6" i="4"/>
  <c r="N17" i="7"/>
  <c r="M17" i="7"/>
  <c r="N16" i="7"/>
  <c r="M16" i="7"/>
  <c r="O16" i="7"/>
  <c r="P16" i="7"/>
  <c r="F16" i="7"/>
  <c r="N15" i="7"/>
  <c r="M15" i="7"/>
  <c r="N13" i="7"/>
  <c r="M13" i="7"/>
  <c r="O13" i="7"/>
  <c r="P13" i="7"/>
  <c r="F13" i="7"/>
  <c r="N12" i="7"/>
  <c r="M12" i="7"/>
  <c r="N10" i="7"/>
  <c r="M10" i="7"/>
  <c r="O10" i="7"/>
  <c r="P10" i="7"/>
  <c r="F10" i="7"/>
  <c r="N9" i="7"/>
  <c r="M9" i="7"/>
  <c r="N8" i="7"/>
  <c r="M8" i="7"/>
  <c r="N7" i="7"/>
  <c r="M7" i="7"/>
  <c r="O7" i="7"/>
  <c r="P7" i="7"/>
  <c r="F7" i="7"/>
  <c r="N6" i="7"/>
  <c r="M6" i="7"/>
  <c r="O6" i="7"/>
  <c r="P6" i="7"/>
  <c r="F6" i="7"/>
  <c r="N20" i="8"/>
  <c r="M20" i="8"/>
  <c r="N19" i="8"/>
  <c r="M19" i="8"/>
  <c r="O19" i="8"/>
  <c r="P19" i="8"/>
  <c r="F19" i="8"/>
  <c r="N18" i="8"/>
  <c r="M18" i="8"/>
  <c r="N16" i="8"/>
  <c r="M16" i="8"/>
  <c r="N15" i="8"/>
  <c r="M15" i="8"/>
  <c r="O15" i="8"/>
  <c r="P15" i="8"/>
  <c r="F15" i="8"/>
  <c r="N13" i="8"/>
  <c r="M13" i="8"/>
  <c r="O13" i="8"/>
  <c r="P13" i="8"/>
  <c r="F13" i="8"/>
  <c r="N12" i="8"/>
  <c r="M12" i="8"/>
  <c r="O12" i="8"/>
  <c r="P12" i="8"/>
  <c r="F12" i="8"/>
  <c r="N10" i="8"/>
  <c r="M10" i="8"/>
  <c r="N9" i="8"/>
  <c r="M9" i="8"/>
  <c r="O9" i="8"/>
  <c r="P9" i="8"/>
  <c r="F9" i="8"/>
  <c r="N8" i="8"/>
  <c r="M8" i="8"/>
  <c r="O8" i="8"/>
  <c r="P8" i="8"/>
  <c r="F8" i="8"/>
  <c r="N7" i="8"/>
  <c r="M7" i="8"/>
  <c r="O7" i="8"/>
  <c r="P7" i="8"/>
  <c r="F7" i="8"/>
  <c r="N6" i="8"/>
  <c r="M6" i="8"/>
  <c r="N20" i="9"/>
  <c r="M20" i="9"/>
  <c r="N19" i="9"/>
  <c r="M19" i="9"/>
  <c r="N18" i="9"/>
  <c r="M18" i="9"/>
  <c r="O18" i="9"/>
  <c r="P18" i="9"/>
  <c r="F18" i="9"/>
  <c r="N16" i="9"/>
  <c r="M16" i="9"/>
  <c r="N15" i="9"/>
  <c r="M15" i="9"/>
  <c r="N13" i="9"/>
  <c r="M13" i="9"/>
  <c r="N12" i="9"/>
  <c r="M12" i="9"/>
  <c r="O12" i="9"/>
  <c r="P12" i="9"/>
  <c r="F12" i="9"/>
  <c r="N9" i="9"/>
  <c r="M9" i="9"/>
  <c r="N8" i="9"/>
  <c r="M8" i="9"/>
  <c r="N22" i="10"/>
  <c r="M22" i="10"/>
  <c r="N21" i="10"/>
  <c r="M21" i="10"/>
  <c r="O21" i="10"/>
  <c r="P21" i="10"/>
  <c r="F21" i="10"/>
  <c r="N20" i="10"/>
  <c r="M20" i="10"/>
  <c r="N18" i="10"/>
  <c r="M18" i="10"/>
  <c r="N17" i="10"/>
  <c r="M17" i="10"/>
  <c r="O17" i="10"/>
  <c r="P17" i="10"/>
  <c r="F17" i="10"/>
  <c r="N15" i="10"/>
  <c r="M15" i="10"/>
  <c r="N14" i="10"/>
  <c r="M14" i="10"/>
  <c r="N12" i="10"/>
  <c r="M12" i="10"/>
  <c r="O12" i="10"/>
  <c r="P12" i="10"/>
  <c r="F12" i="10"/>
  <c r="N9" i="10"/>
  <c r="M9" i="10"/>
  <c r="N7" i="10"/>
  <c r="M7" i="10"/>
  <c r="O7" i="10"/>
  <c r="P7" i="10"/>
  <c r="F7" i="10"/>
  <c r="N6" i="10"/>
  <c r="M6" i="10"/>
  <c r="O6" i="10"/>
  <c r="P6" i="10"/>
  <c r="F6" i="10"/>
  <c r="N22" i="13"/>
  <c r="M22" i="13"/>
  <c r="N21" i="13"/>
  <c r="M21" i="13"/>
  <c r="N20" i="13"/>
  <c r="M20" i="13"/>
  <c r="N18" i="13"/>
  <c r="M18" i="13"/>
  <c r="O18" i="13"/>
  <c r="P18" i="13"/>
  <c r="F18" i="13"/>
  <c r="N17" i="13"/>
  <c r="M17" i="13"/>
  <c r="N15" i="13"/>
  <c r="M15" i="13"/>
  <c r="N14" i="13"/>
  <c r="M14" i="13"/>
  <c r="O14" i="13"/>
  <c r="P14" i="13"/>
  <c r="F14" i="13"/>
  <c r="N12" i="13"/>
  <c r="M12" i="13"/>
  <c r="N11" i="13"/>
  <c r="M11" i="13"/>
  <c r="N9" i="13"/>
  <c r="M9" i="13"/>
  <c r="O9" i="13"/>
  <c r="P9" i="13"/>
  <c r="F9" i="13"/>
  <c r="N7" i="13"/>
  <c r="M7" i="13"/>
  <c r="N6" i="13"/>
  <c r="M6" i="13"/>
  <c r="N24" i="12"/>
  <c r="M24" i="12"/>
  <c r="O24" i="12"/>
  <c r="P24" i="12"/>
  <c r="F24" i="12"/>
  <c r="N23" i="12"/>
  <c r="M23" i="12"/>
  <c r="N22" i="12"/>
  <c r="M22" i="12"/>
  <c r="N20" i="12"/>
  <c r="M20" i="12"/>
  <c r="N19" i="12"/>
  <c r="M19" i="12"/>
  <c r="O19" i="12"/>
  <c r="P19" i="12"/>
  <c r="F19" i="12"/>
  <c r="N17" i="12"/>
  <c r="M17" i="12"/>
  <c r="O17" i="12"/>
  <c r="P17" i="12"/>
  <c r="F17" i="12"/>
  <c r="N16" i="12"/>
  <c r="M16" i="12"/>
  <c r="N12" i="12"/>
  <c r="M12" i="12"/>
  <c r="O12" i="12"/>
  <c r="P12" i="12"/>
  <c r="F12" i="12"/>
  <c r="N11" i="12"/>
  <c r="M11" i="12"/>
  <c r="N9" i="12"/>
  <c r="M9" i="12"/>
  <c r="O9" i="12"/>
  <c r="N8" i="12"/>
  <c r="M8" i="12"/>
  <c r="O8" i="12"/>
  <c r="P8" i="12"/>
  <c r="F8" i="12"/>
  <c r="N7" i="12"/>
  <c r="M7" i="12"/>
  <c r="N6" i="12"/>
  <c r="M6" i="12"/>
  <c r="N24" i="15"/>
  <c r="M24" i="15"/>
  <c r="N23" i="15"/>
  <c r="M23" i="15"/>
  <c r="O23" i="15"/>
  <c r="P23" i="15"/>
  <c r="F23" i="15"/>
  <c r="N22" i="15"/>
  <c r="M22" i="15"/>
  <c r="N20" i="15"/>
  <c r="M20" i="15"/>
  <c r="N19" i="15"/>
  <c r="M19" i="15"/>
  <c r="O19" i="15"/>
  <c r="P19" i="15"/>
  <c r="F19" i="15"/>
  <c r="N17" i="15"/>
  <c r="M17" i="15"/>
  <c r="N16" i="15"/>
  <c r="M16" i="15"/>
  <c r="O16" i="15"/>
  <c r="P16" i="15"/>
  <c r="F16" i="15"/>
  <c r="N12" i="15"/>
  <c r="M12" i="15"/>
  <c r="O12" i="15"/>
  <c r="P12" i="15"/>
  <c r="F12" i="15"/>
  <c r="N11" i="15"/>
  <c r="M11" i="15"/>
  <c r="N9" i="15"/>
  <c r="M9" i="15"/>
  <c r="O9" i="15"/>
  <c r="P9" i="15"/>
  <c r="F9" i="15"/>
  <c r="N8" i="15"/>
  <c r="M8" i="15"/>
  <c r="N7" i="15"/>
  <c r="M7" i="15"/>
  <c r="N6" i="15"/>
  <c r="M6" i="15"/>
  <c r="N31" i="16"/>
  <c r="M31" i="16"/>
  <c r="O31" i="16"/>
  <c r="P31" i="16"/>
  <c r="F31" i="16"/>
  <c r="N30" i="16"/>
  <c r="M30" i="16"/>
  <c r="N29" i="16"/>
  <c r="M29" i="16"/>
  <c r="O29" i="16"/>
  <c r="N27" i="16"/>
  <c r="M27" i="16"/>
  <c r="O27" i="16"/>
  <c r="N26" i="16"/>
  <c r="M26" i="16"/>
  <c r="N24" i="16"/>
  <c r="M24" i="16"/>
  <c r="N23" i="16"/>
  <c r="M23" i="16"/>
  <c r="O23" i="16"/>
  <c r="P23" i="16"/>
  <c r="F23" i="16"/>
  <c r="N22" i="16"/>
  <c r="M22" i="16"/>
  <c r="N21" i="16"/>
  <c r="M21" i="16"/>
  <c r="N16" i="16"/>
  <c r="M16" i="16"/>
  <c r="N15" i="16"/>
  <c r="M15" i="16"/>
  <c r="O15" i="16"/>
  <c r="P15" i="16"/>
  <c r="F15" i="16"/>
  <c r="N14" i="16"/>
  <c r="M14" i="16"/>
  <c r="O14" i="16"/>
  <c r="P14" i="16"/>
  <c r="F14" i="16"/>
  <c r="N13" i="16"/>
  <c r="M13" i="16"/>
  <c r="N12" i="16"/>
  <c r="M12" i="16"/>
  <c r="O12" i="16"/>
  <c r="P12" i="16"/>
  <c r="F12" i="16"/>
  <c r="N10" i="16"/>
  <c r="M10" i="16"/>
  <c r="N9" i="16"/>
  <c r="M9" i="16"/>
  <c r="O9" i="16"/>
  <c r="N8" i="16"/>
  <c r="M8" i="16"/>
  <c r="O8" i="16"/>
  <c r="P8" i="16"/>
  <c r="F8" i="16"/>
  <c r="N7" i="16"/>
  <c r="M7" i="16"/>
  <c r="N6" i="16"/>
  <c r="M6" i="16"/>
  <c r="N31" i="17"/>
  <c r="M31" i="17"/>
  <c r="N30" i="17"/>
  <c r="M30" i="17"/>
  <c r="O30" i="17"/>
  <c r="P30" i="17"/>
  <c r="F30" i="17"/>
  <c r="N29" i="17"/>
  <c r="M29" i="17"/>
  <c r="O29" i="17"/>
  <c r="P29" i="17"/>
  <c r="F29" i="17"/>
  <c r="N27" i="17"/>
  <c r="M27" i="17"/>
  <c r="N26" i="17"/>
  <c r="M26" i="17"/>
  <c r="N24" i="17"/>
  <c r="M24" i="17"/>
  <c r="N23" i="17"/>
  <c r="M23" i="17"/>
  <c r="O23" i="17"/>
  <c r="P23" i="17"/>
  <c r="F23" i="17"/>
  <c r="N22" i="17"/>
  <c r="M22" i="17"/>
  <c r="N21" i="17"/>
  <c r="M21" i="17"/>
  <c r="O21" i="17"/>
  <c r="P21" i="17"/>
  <c r="F21" i="17"/>
  <c r="N16" i="17"/>
  <c r="M16" i="17"/>
  <c r="O16" i="17"/>
  <c r="P16" i="17"/>
  <c r="F16" i="17"/>
  <c r="N15" i="17"/>
  <c r="M15" i="17"/>
  <c r="O15" i="17"/>
  <c r="P15" i="17"/>
  <c r="F15" i="17"/>
  <c r="N14" i="17"/>
  <c r="M14" i="17"/>
  <c r="N13" i="17"/>
  <c r="M13" i="17"/>
  <c r="N12" i="17"/>
  <c r="M12" i="17"/>
  <c r="O12" i="17"/>
  <c r="P12" i="17"/>
  <c r="F12" i="17"/>
  <c r="N10" i="17"/>
  <c r="M10" i="17"/>
  <c r="N9" i="17"/>
  <c r="M9" i="17"/>
  <c r="O9" i="17"/>
  <c r="P9" i="17"/>
  <c r="F9" i="17"/>
  <c r="N8" i="17"/>
  <c r="M8" i="17"/>
  <c r="O8" i="17"/>
  <c r="P8" i="17"/>
  <c r="F8" i="17"/>
  <c r="N7" i="17"/>
  <c r="M7" i="17"/>
  <c r="O7" i="17"/>
  <c r="P7" i="17"/>
  <c r="F7" i="17"/>
  <c r="N6" i="17"/>
  <c r="M6" i="17"/>
  <c r="N32" i="19"/>
  <c r="M32" i="19"/>
  <c r="O32" i="19"/>
  <c r="P32" i="19"/>
  <c r="F32" i="19"/>
  <c r="N31" i="19"/>
  <c r="M31" i="19"/>
  <c r="N30" i="19"/>
  <c r="M30" i="19"/>
  <c r="N28" i="19"/>
  <c r="M28" i="19"/>
  <c r="O28" i="19"/>
  <c r="P28" i="19"/>
  <c r="F28" i="19"/>
  <c r="N27" i="19"/>
  <c r="M27" i="19"/>
  <c r="N25" i="19"/>
  <c r="M25" i="19"/>
  <c r="N24" i="19"/>
  <c r="M24" i="19"/>
  <c r="N23" i="19"/>
  <c r="M23" i="19"/>
  <c r="O23" i="19"/>
  <c r="P23" i="19"/>
  <c r="F23" i="19"/>
  <c r="N22" i="19"/>
  <c r="M22" i="19"/>
  <c r="O22" i="19"/>
  <c r="P22" i="19"/>
  <c r="F22" i="19"/>
  <c r="N16" i="19"/>
  <c r="M16" i="19"/>
  <c r="N15" i="19"/>
  <c r="M15" i="19"/>
  <c r="O15" i="19"/>
  <c r="P15" i="19"/>
  <c r="F15" i="19"/>
  <c r="N14" i="19"/>
  <c r="M14" i="19"/>
  <c r="N13" i="19"/>
  <c r="M13" i="19"/>
  <c r="N12" i="19"/>
  <c r="M12" i="19"/>
  <c r="N11" i="19"/>
  <c r="M11" i="19"/>
  <c r="N10" i="19"/>
  <c r="M10" i="19"/>
  <c r="O10" i="19"/>
  <c r="P10" i="19"/>
  <c r="F10" i="19"/>
  <c r="N9" i="19"/>
  <c r="M9" i="19"/>
  <c r="N8" i="19"/>
  <c r="M8" i="19"/>
  <c r="O8" i="19"/>
  <c r="P8" i="19"/>
  <c r="F8" i="19"/>
  <c r="N6" i="19"/>
  <c r="M6" i="19"/>
  <c r="N32" i="20"/>
  <c r="M32" i="20"/>
  <c r="N31" i="20"/>
  <c r="M31" i="20"/>
  <c r="N30" i="20"/>
  <c r="M30" i="20"/>
  <c r="O30" i="20"/>
  <c r="P30" i="20"/>
  <c r="F30" i="20"/>
  <c r="N28" i="20"/>
  <c r="M28" i="20"/>
  <c r="N27" i="20"/>
  <c r="M27" i="20"/>
  <c r="N25" i="20"/>
  <c r="M25" i="20"/>
  <c r="O25" i="20"/>
  <c r="P25" i="20"/>
  <c r="F25" i="20"/>
  <c r="N24" i="20"/>
  <c r="M24" i="20"/>
  <c r="N23" i="20"/>
  <c r="M23" i="20"/>
  <c r="N22" i="20"/>
  <c r="M22" i="20"/>
  <c r="O22" i="20"/>
  <c r="P22" i="20"/>
  <c r="F22" i="20"/>
  <c r="N16" i="20"/>
  <c r="M16" i="20"/>
  <c r="O16" i="20"/>
  <c r="P16" i="20"/>
  <c r="F16" i="20"/>
  <c r="N15" i="20"/>
  <c r="M15" i="20"/>
  <c r="N14" i="20"/>
  <c r="M14" i="20"/>
  <c r="O14" i="20"/>
  <c r="P14" i="20"/>
  <c r="F14" i="20"/>
  <c r="N13" i="20"/>
  <c r="M13" i="20"/>
  <c r="O13" i="20"/>
  <c r="P13" i="20"/>
  <c r="F13" i="20"/>
  <c r="N12" i="20"/>
  <c r="M12" i="20"/>
  <c r="O12" i="20"/>
  <c r="P12" i="20"/>
  <c r="F12" i="20"/>
  <c r="N11" i="20"/>
  <c r="M11" i="20"/>
  <c r="N10" i="20"/>
  <c r="M10" i="20"/>
  <c r="N9" i="20"/>
  <c r="M9" i="20"/>
  <c r="O9" i="20"/>
  <c r="P9" i="20"/>
  <c r="F9" i="20"/>
  <c r="N8" i="20"/>
  <c r="M8" i="20"/>
  <c r="N6" i="20"/>
  <c r="M6" i="20"/>
  <c r="N33" i="21"/>
  <c r="M33" i="21"/>
  <c r="O33" i="21"/>
  <c r="P33" i="21"/>
  <c r="F33" i="21"/>
  <c r="N32" i="21"/>
  <c r="M32" i="21"/>
  <c r="N31" i="21"/>
  <c r="M31" i="21"/>
  <c r="N29" i="21"/>
  <c r="M29" i="21"/>
  <c r="N28" i="21"/>
  <c r="M28" i="21"/>
  <c r="N26" i="21"/>
  <c r="M26" i="21"/>
  <c r="O26" i="21"/>
  <c r="P26" i="21"/>
  <c r="F26" i="21"/>
  <c r="N25" i="21"/>
  <c r="M25" i="21"/>
  <c r="O25" i="21"/>
  <c r="P25" i="21"/>
  <c r="F25" i="21"/>
  <c r="N24" i="21"/>
  <c r="M24" i="21"/>
  <c r="O24" i="21"/>
  <c r="P24" i="21"/>
  <c r="F24" i="21"/>
  <c r="N23" i="21"/>
  <c r="M23" i="21"/>
  <c r="N17" i="21"/>
  <c r="M17" i="21"/>
  <c r="O17" i="21"/>
  <c r="P17" i="21"/>
  <c r="F17" i="21"/>
  <c r="N16" i="21"/>
  <c r="M16" i="21"/>
  <c r="O16" i="21"/>
  <c r="P16" i="21"/>
  <c r="F16" i="21"/>
  <c r="N15" i="21"/>
  <c r="M15" i="21"/>
  <c r="O15" i="21"/>
  <c r="P15" i="21"/>
  <c r="F15" i="21"/>
  <c r="N14" i="21"/>
  <c r="M14" i="21"/>
  <c r="O14" i="21"/>
  <c r="P14" i="21"/>
  <c r="F14" i="21"/>
  <c r="N13" i="21"/>
  <c r="M13" i="21"/>
  <c r="N12" i="21"/>
  <c r="M12" i="21"/>
  <c r="O12" i="21"/>
  <c r="P12" i="21"/>
  <c r="F12" i="21"/>
  <c r="N11" i="21"/>
  <c r="M11" i="21"/>
  <c r="N10" i="21"/>
  <c r="M10" i="21"/>
  <c r="N9" i="21"/>
  <c r="M9" i="21"/>
  <c r="O9" i="21"/>
  <c r="P9" i="21"/>
  <c r="F9" i="21"/>
  <c r="N8" i="21"/>
  <c r="M8" i="21"/>
  <c r="N6" i="21"/>
  <c r="M6" i="21"/>
  <c r="O6" i="21"/>
  <c r="P6" i="21"/>
  <c r="F6" i="21"/>
  <c r="N33" i="18"/>
  <c r="M33" i="18"/>
  <c r="N32" i="18"/>
  <c r="M32" i="18"/>
  <c r="N31" i="18"/>
  <c r="M31" i="18"/>
  <c r="O31" i="18"/>
  <c r="P31" i="18"/>
  <c r="F31" i="18"/>
  <c r="N29" i="18"/>
  <c r="M29" i="18"/>
  <c r="O29" i="18"/>
  <c r="P29" i="18"/>
  <c r="F29" i="18"/>
  <c r="N28" i="18"/>
  <c r="M28" i="18"/>
  <c r="N26" i="18"/>
  <c r="M26" i="18"/>
  <c r="N25" i="18"/>
  <c r="M25" i="18"/>
  <c r="O25" i="18"/>
  <c r="P25" i="18"/>
  <c r="F25" i="18"/>
  <c r="N24" i="18"/>
  <c r="M24" i="18"/>
  <c r="O24" i="18"/>
  <c r="P24" i="18"/>
  <c r="F24" i="18"/>
  <c r="N23" i="18"/>
  <c r="M23" i="18"/>
  <c r="O23" i="18"/>
  <c r="P23" i="18"/>
  <c r="F23" i="18"/>
  <c r="N17" i="18"/>
  <c r="M17" i="18"/>
  <c r="N16" i="18"/>
  <c r="M16" i="18"/>
  <c r="O16" i="18"/>
  <c r="P16" i="18"/>
  <c r="F16" i="18"/>
  <c r="N15" i="18"/>
  <c r="M15" i="18"/>
  <c r="N14" i="18"/>
  <c r="M14" i="18"/>
  <c r="O14" i="18"/>
  <c r="P14" i="18"/>
  <c r="F14" i="18"/>
  <c r="N13" i="18"/>
  <c r="M13" i="18"/>
  <c r="O13" i="18"/>
  <c r="P13" i="18"/>
  <c r="F13" i="18"/>
  <c r="N12" i="18"/>
  <c r="M12" i="18"/>
  <c r="N11" i="18"/>
  <c r="M11" i="18"/>
  <c r="N10" i="18"/>
  <c r="M10" i="18"/>
  <c r="N9" i="18"/>
  <c r="M9" i="18"/>
  <c r="O9" i="18"/>
  <c r="P9" i="18"/>
  <c r="F9" i="18"/>
  <c r="N8" i="18"/>
  <c r="M8" i="18"/>
  <c r="O8" i="18"/>
  <c r="P8" i="18"/>
  <c r="F8" i="18"/>
  <c r="N6" i="18"/>
  <c r="M6" i="18"/>
  <c r="O6" i="18"/>
  <c r="P6" i="18"/>
  <c r="F6" i="18"/>
  <c r="N31" i="14"/>
  <c r="M31" i="14"/>
  <c r="O31" i="14"/>
  <c r="P31" i="14"/>
  <c r="F31" i="14"/>
  <c r="N33" i="14"/>
  <c r="M33" i="14"/>
  <c r="N34" i="14"/>
  <c r="M34" i="14"/>
  <c r="N35" i="14"/>
  <c r="M35" i="14"/>
  <c r="N30" i="14"/>
  <c r="M30" i="14"/>
  <c r="O30" i="14"/>
  <c r="P30" i="14"/>
  <c r="F30" i="14"/>
  <c r="N8" i="14"/>
  <c r="M8" i="14"/>
  <c r="O8" i="14"/>
  <c r="P8" i="14"/>
  <c r="F8" i="14"/>
  <c r="N9" i="14"/>
  <c r="M9" i="14"/>
  <c r="O9" i="14"/>
  <c r="P9" i="14"/>
  <c r="F9" i="14"/>
  <c r="N10" i="14"/>
  <c r="M10" i="14"/>
  <c r="N11" i="14"/>
  <c r="M11" i="14"/>
  <c r="N12" i="14"/>
  <c r="M12" i="14"/>
  <c r="O12" i="14"/>
  <c r="P12" i="14"/>
  <c r="F12" i="14"/>
  <c r="N13" i="14"/>
  <c r="M13" i="14"/>
  <c r="O13" i="14"/>
  <c r="P13" i="14"/>
  <c r="F13" i="14"/>
  <c r="N14" i="14"/>
  <c r="M14" i="14"/>
  <c r="N15" i="14"/>
  <c r="M15" i="14"/>
  <c r="N16" i="14"/>
  <c r="M16" i="14"/>
  <c r="N17" i="14"/>
  <c r="M17" i="14"/>
  <c r="N18" i="14"/>
  <c r="M18" i="14"/>
  <c r="N24" i="14"/>
  <c r="M24" i="14"/>
  <c r="N25" i="14"/>
  <c r="M25" i="14"/>
  <c r="N26" i="14"/>
  <c r="M26" i="14"/>
  <c r="N28" i="14"/>
  <c r="M28" i="14"/>
  <c r="N6" i="14"/>
  <c r="M6" i="14"/>
  <c r="N33" i="11"/>
  <c r="M33" i="11"/>
  <c r="O33" i="11"/>
  <c r="P33" i="11"/>
  <c r="F33" i="11"/>
  <c r="N35" i="11"/>
  <c r="M35" i="11"/>
  <c r="O35" i="11"/>
  <c r="P35" i="11"/>
  <c r="F35" i="11"/>
  <c r="N36" i="11"/>
  <c r="M36" i="11"/>
  <c r="O36" i="11"/>
  <c r="P36" i="11"/>
  <c r="F36" i="11"/>
  <c r="N37" i="11"/>
  <c r="M37" i="11"/>
  <c r="N32" i="11"/>
  <c r="M32" i="11"/>
  <c r="O32" i="11"/>
  <c r="P32" i="11"/>
  <c r="F32" i="11"/>
  <c r="N8" i="11"/>
  <c r="M8" i="11"/>
  <c r="O8" i="11"/>
  <c r="P8" i="11"/>
  <c r="F8" i="11"/>
  <c r="N9" i="11"/>
  <c r="M9" i="11"/>
  <c r="O9" i="11"/>
  <c r="P9" i="11"/>
  <c r="F9" i="11"/>
  <c r="N10" i="11"/>
  <c r="M10" i="11"/>
  <c r="N11" i="11"/>
  <c r="M11" i="11"/>
  <c r="O11" i="11"/>
  <c r="P11" i="11"/>
  <c r="F11" i="11"/>
  <c r="N24" i="11"/>
  <c r="M24" i="11"/>
  <c r="O24" i="11"/>
  <c r="P24" i="11"/>
  <c r="F24" i="11"/>
  <c r="N25" i="11"/>
  <c r="M25" i="11"/>
  <c r="O25" i="11"/>
  <c r="P25" i="11"/>
  <c r="F25" i="11"/>
  <c r="N26" i="11"/>
  <c r="M26" i="11"/>
  <c r="O26" i="11"/>
  <c r="P26" i="11"/>
  <c r="F26" i="11"/>
  <c r="N27" i="11"/>
  <c r="M27" i="11"/>
  <c r="O27" i="11"/>
  <c r="P27" i="11"/>
  <c r="F27" i="11"/>
  <c r="N6" i="11"/>
  <c r="M6" i="11"/>
  <c r="O6" i="11"/>
  <c r="P6" i="11"/>
  <c r="F6" i="11"/>
  <c r="N34" i="6"/>
  <c r="M34" i="6"/>
  <c r="O34" i="6"/>
  <c r="P34" i="6"/>
  <c r="F34" i="6"/>
  <c r="N36" i="6"/>
  <c r="M36" i="6"/>
  <c r="N37" i="6"/>
  <c r="M37" i="6"/>
  <c r="O37" i="6"/>
  <c r="P37" i="6"/>
  <c r="F37" i="6"/>
  <c r="N38" i="6"/>
  <c r="M38" i="6"/>
  <c r="O38" i="6"/>
  <c r="P38" i="6"/>
  <c r="F38" i="6"/>
  <c r="N33" i="6"/>
  <c r="M33" i="6"/>
  <c r="O33" i="6"/>
  <c r="P33" i="6"/>
  <c r="F33" i="6"/>
  <c r="N8" i="6"/>
  <c r="M8" i="6"/>
  <c r="N9" i="6"/>
  <c r="M9" i="6"/>
  <c r="N10" i="6"/>
  <c r="M10" i="6"/>
  <c r="O10" i="6"/>
  <c r="P10" i="6"/>
  <c r="F10" i="6"/>
  <c r="N11" i="6"/>
  <c r="M11" i="6"/>
  <c r="O11" i="6"/>
  <c r="P11" i="6"/>
  <c r="F11" i="6"/>
  <c r="N12" i="6"/>
  <c r="M12" i="6"/>
  <c r="N13" i="6"/>
  <c r="M13" i="6"/>
  <c r="O13" i="6"/>
  <c r="P13" i="6"/>
  <c r="F13" i="6"/>
  <c r="N14" i="6"/>
  <c r="M14" i="6"/>
  <c r="O14" i="6"/>
  <c r="P14" i="6"/>
  <c r="F14" i="6"/>
  <c r="N15" i="6"/>
  <c r="M15" i="6"/>
  <c r="O15" i="6"/>
  <c r="P15" i="6"/>
  <c r="F15" i="6"/>
  <c r="N16" i="6"/>
  <c r="M16" i="6"/>
  <c r="N17" i="6"/>
  <c r="M17" i="6"/>
  <c r="O17" i="6"/>
  <c r="P17" i="6"/>
  <c r="F17" i="6"/>
  <c r="N18" i="6"/>
  <c r="M18" i="6"/>
  <c r="O18" i="6"/>
  <c r="P18" i="6"/>
  <c r="F18" i="6"/>
  <c r="N19" i="6"/>
  <c r="M19" i="6"/>
  <c r="O19" i="6"/>
  <c r="P19" i="6"/>
  <c r="F19" i="6"/>
  <c r="N26" i="6"/>
  <c r="M26" i="6"/>
  <c r="O26" i="6"/>
  <c r="P26" i="6"/>
  <c r="F26" i="6"/>
  <c r="N27" i="6"/>
  <c r="M27" i="6"/>
  <c r="O27" i="6"/>
  <c r="P27" i="6"/>
  <c r="F27" i="6"/>
  <c r="N28" i="6"/>
  <c r="M28" i="6"/>
  <c r="N29" i="6"/>
  <c r="M29" i="6"/>
  <c r="O29" i="6"/>
  <c r="P29" i="6"/>
  <c r="F29" i="6"/>
  <c r="N30" i="6"/>
  <c r="M30" i="6"/>
  <c r="O30" i="6"/>
  <c r="P30" i="6"/>
  <c r="F30" i="6"/>
  <c r="N31" i="6"/>
  <c r="M31" i="6"/>
  <c r="O31" i="6"/>
  <c r="P31" i="6"/>
  <c r="F31" i="6"/>
  <c r="N6" i="6"/>
  <c r="M6" i="6"/>
  <c r="O6" i="6"/>
  <c r="P6" i="6"/>
  <c r="F6" i="6"/>
  <c r="N35" i="5"/>
  <c r="M35" i="5"/>
  <c r="O35" i="5"/>
  <c r="P35" i="5"/>
  <c r="F35" i="5"/>
  <c r="N37" i="5"/>
  <c r="M37" i="5"/>
  <c r="N38" i="5"/>
  <c r="M38" i="5"/>
  <c r="O38" i="5"/>
  <c r="P38" i="5"/>
  <c r="F38" i="5"/>
  <c r="N39" i="5"/>
  <c r="M39" i="5"/>
  <c r="O39" i="5"/>
  <c r="P39" i="5"/>
  <c r="F39" i="5"/>
  <c r="N34" i="5"/>
  <c r="M34" i="5"/>
  <c r="O34" i="5"/>
  <c r="P34" i="5"/>
  <c r="F34" i="5"/>
  <c r="N8" i="5"/>
  <c r="M8" i="5"/>
  <c r="O8" i="5"/>
  <c r="P8" i="5"/>
  <c r="F8" i="5"/>
  <c r="N9" i="5"/>
  <c r="M9" i="5"/>
  <c r="O9" i="5"/>
  <c r="P9" i="5"/>
  <c r="F9" i="5"/>
  <c r="N10" i="5"/>
  <c r="M10" i="5"/>
  <c r="O10" i="5"/>
  <c r="P10" i="5"/>
  <c r="F10" i="5"/>
  <c r="N11" i="5"/>
  <c r="M11" i="5"/>
  <c r="O11" i="5"/>
  <c r="P11" i="5"/>
  <c r="F11" i="5"/>
  <c r="N12" i="5"/>
  <c r="M12" i="5"/>
  <c r="O12" i="5"/>
  <c r="P12" i="5"/>
  <c r="F12" i="5"/>
  <c r="N13" i="5"/>
  <c r="M13" i="5"/>
  <c r="O13" i="5"/>
  <c r="P13" i="5"/>
  <c r="F13" i="5"/>
  <c r="N14" i="5"/>
  <c r="M14" i="5"/>
  <c r="O14" i="5"/>
  <c r="P14" i="5"/>
  <c r="F14" i="5"/>
  <c r="N15" i="5"/>
  <c r="M15" i="5"/>
  <c r="N16" i="5"/>
  <c r="M16" i="5"/>
  <c r="O16" i="5"/>
  <c r="P16" i="5"/>
  <c r="F16" i="5"/>
  <c r="N17" i="5"/>
  <c r="M17" i="5"/>
  <c r="O17" i="5"/>
  <c r="P17" i="5"/>
  <c r="F17" i="5"/>
  <c r="N18" i="5"/>
  <c r="M18" i="5"/>
  <c r="N19" i="5"/>
  <c r="M19" i="5"/>
  <c r="O19" i="5"/>
  <c r="P19" i="5"/>
  <c r="F19" i="5"/>
  <c r="N26" i="5"/>
  <c r="M26" i="5"/>
  <c r="N27" i="5"/>
  <c r="M27" i="5"/>
  <c r="O27" i="5"/>
  <c r="P27" i="5"/>
  <c r="F27" i="5"/>
  <c r="N28" i="5"/>
  <c r="M28" i="5"/>
  <c r="O28" i="5"/>
  <c r="P28" i="5"/>
  <c r="F28" i="5"/>
  <c r="N29" i="5"/>
  <c r="M29" i="5"/>
  <c r="O29" i="5"/>
  <c r="P29" i="5"/>
  <c r="F29" i="5"/>
  <c r="N30" i="5"/>
  <c r="M30" i="5"/>
  <c r="N31" i="5"/>
  <c r="M31" i="5"/>
  <c r="O31" i="5"/>
  <c r="P31" i="5"/>
  <c r="F31" i="5"/>
  <c r="N32" i="5"/>
  <c r="M32" i="5"/>
  <c r="M6" i="5"/>
  <c r="N6" i="5"/>
  <c r="O6" i="5"/>
  <c r="P6" i="5"/>
  <c r="F6" i="5"/>
  <c r="N8" i="3"/>
  <c r="M8" i="3"/>
  <c r="O8" i="3"/>
  <c r="P8" i="3"/>
  <c r="F8" i="3"/>
  <c r="N9" i="3"/>
  <c r="M9" i="3"/>
  <c r="O9" i="3" s="1"/>
  <c r="P9" i="3" s="1"/>
  <c r="F9" i="3" s="1"/>
  <c r="N10" i="3"/>
  <c r="M10" i="3"/>
  <c r="O10" i="3"/>
  <c r="P10" i="3"/>
  <c r="F10" i="3"/>
  <c r="N11" i="3"/>
  <c r="M11" i="3"/>
  <c r="O11" i="3"/>
  <c r="P11" i="3"/>
  <c r="F11" i="3"/>
  <c r="N12" i="3"/>
  <c r="M12" i="3"/>
  <c r="O12" i="3"/>
  <c r="P12" i="3"/>
  <c r="F12" i="3"/>
  <c r="N13" i="3"/>
  <c r="M13" i="3"/>
  <c r="O13" i="3"/>
  <c r="P13" i="3"/>
  <c r="F13" i="3"/>
  <c r="N14" i="3"/>
  <c r="M14" i="3"/>
  <c r="O14" i="3"/>
  <c r="P14" i="3"/>
  <c r="F14" i="3"/>
  <c r="N15" i="3"/>
  <c r="M15" i="3"/>
  <c r="O15" i="3"/>
  <c r="P15" i="3"/>
  <c r="F15" i="3"/>
  <c r="N16" i="3"/>
  <c r="M16" i="3"/>
  <c r="O16" i="3"/>
  <c r="P16" i="3"/>
  <c r="F16" i="3"/>
  <c r="N17" i="3"/>
  <c r="M17" i="3"/>
  <c r="O17" i="3"/>
  <c r="P17" i="3"/>
  <c r="F17" i="3"/>
  <c r="N18" i="3"/>
  <c r="M18" i="3"/>
  <c r="O18" i="3"/>
  <c r="P18" i="3"/>
  <c r="F18" i="3"/>
  <c r="N19" i="3"/>
  <c r="M19" i="3"/>
  <c r="O19" i="3"/>
  <c r="P19" i="3"/>
  <c r="F19" i="3"/>
  <c r="N26" i="3"/>
  <c r="M26" i="3"/>
  <c r="O26" i="3"/>
  <c r="P26" i="3"/>
  <c r="F26" i="3"/>
  <c r="N27" i="3"/>
  <c r="M27" i="3"/>
  <c r="O27" i="3"/>
  <c r="P27" i="3"/>
  <c r="F27" i="3"/>
  <c r="N28" i="3"/>
  <c r="M28" i="3"/>
  <c r="O28" i="3"/>
  <c r="P28" i="3"/>
  <c r="F28" i="3"/>
  <c r="N29" i="3"/>
  <c r="M29" i="3"/>
  <c r="O29" i="3"/>
  <c r="P29" i="3"/>
  <c r="F29" i="3"/>
  <c r="N30" i="3"/>
  <c r="M30" i="3"/>
  <c r="O30" i="3"/>
  <c r="P30" i="3"/>
  <c r="F30" i="3"/>
  <c r="N31" i="3"/>
  <c r="M31" i="3"/>
  <c r="O31" i="3"/>
  <c r="P31" i="3"/>
  <c r="F31" i="3"/>
  <c r="N33" i="3"/>
  <c r="M33" i="3"/>
  <c r="O33" i="3"/>
  <c r="P33" i="3"/>
  <c r="F33" i="3"/>
  <c r="N34" i="3"/>
  <c r="M34" i="3"/>
  <c r="O34" i="3"/>
  <c r="P34" i="3"/>
  <c r="F34" i="3"/>
  <c r="N36" i="3"/>
  <c r="M36" i="3"/>
  <c r="O36" i="3"/>
  <c r="P36" i="3"/>
  <c r="F36" i="3"/>
  <c r="N37" i="3"/>
  <c r="M37" i="3"/>
  <c r="O37" i="3"/>
  <c r="P37" i="3"/>
  <c r="F37" i="3"/>
  <c r="N38" i="3"/>
  <c r="M38" i="3"/>
  <c r="O38" i="3"/>
  <c r="P38" i="3"/>
  <c r="F38" i="3"/>
  <c r="M6" i="3"/>
  <c r="N6" i="3"/>
  <c r="O6" i="3"/>
  <c r="P6" i="3"/>
  <c r="F6" i="3"/>
  <c r="N8" i="2"/>
  <c r="M8" i="2"/>
  <c r="O8" i="2"/>
  <c r="P8" i="2" s="1"/>
  <c r="F8" i="2" s="1"/>
  <c r="N9" i="2"/>
  <c r="M9" i="2"/>
  <c r="O9" i="2" s="1"/>
  <c r="P9" i="2" s="1"/>
  <c r="F9" i="2" s="1"/>
  <c r="N10" i="2"/>
  <c r="M10" i="2"/>
  <c r="O10" i="2"/>
  <c r="P10" i="2"/>
  <c r="F10" i="2"/>
  <c r="M11" i="2"/>
  <c r="N11" i="2"/>
  <c r="O11" i="2"/>
  <c r="P11" i="2"/>
  <c r="F11" i="2"/>
  <c r="M12" i="2"/>
  <c r="N12" i="2"/>
  <c r="O12" i="2"/>
  <c r="P12" i="2"/>
  <c r="F12" i="2"/>
  <c r="N13" i="2"/>
  <c r="M13" i="2"/>
  <c r="O13" i="2"/>
  <c r="P13" i="2"/>
  <c r="F13" i="2"/>
  <c r="N14" i="2"/>
  <c r="M14" i="2"/>
  <c r="O14" i="2"/>
  <c r="P14" i="2"/>
  <c r="F14" i="2"/>
  <c r="N15" i="2"/>
  <c r="M15" i="2"/>
  <c r="O15" i="2"/>
  <c r="P15" i="2"/>
  <c r="F15" i="2"/>
  <c r="N16" i="2"/>
  <c r="M16" i="2"/>
  <c r="O16" i="2"/>
  <c r="P16" i="2"/>
  <c r="F16" i="2"/>
  <c r="N17" i="2"/>
  <c r="M17" i="2"/>
  <c r="O17" i="2"/>
  <c r="P17" i="2"/>
  <c r="F17" i="2"/>
  <c r="N18" i="2"/>
  <c r="O18" i="2"/>
  <c r="P18" i="2"/>
  <c r="F18" i="2"/>
  <c r="N19" i="2"/>
  <c r="M19" i="2"/>
  <c r="O19" i="2"/>
  <c r="P19" i="2"/>
  <c r="F19" i="2"/>
  <c r="N26" i="2"/>
  <c r="M26" i="2"/>
  <c r="O26" i="2"/>
  <c r="P26" i="2"/>
  <c r="F26" i="2"/>
  <c r="N27" i="2"/>
  <c r="M27" i="2"/>
  <c r="O27" i="2"/>
  <c r="P27" i="2"/>
  <c r="F27" i="2"/>
  <c r="N28" i="2"/>
  <c r="M28" i="2"/>
  <c r="O28" i="2"/>
  <c r="P28" i="2"/>
  <c r="F28" i="2"/>
  <c r="N29" i="2"/>
  <c r="M29" i="2"/>
  <c r="O29" i="2"/>
  <c r="P29" i="2"/>
  <c r="F29" i="2"/>
  <c r="N30" i="2"/>
  <c r="M30" i="2"/>
  <c r="O30" i="2"/>
  <c r="P30" i="2"/>
  <c r="F30" i="2"/>
  <c r="N31" i="2"/>
  <c r="M31" i="2"/>
  <c r="O31" i="2"/>
  <c r="P31" i="2"/>
  <c r="F31" i="2"/>
  <c r="N32" i="2"/>
  <c r="M32" i="2"/>
  <c r="O32" i="2"/>
  <c r="P32" i="2"/>
  <c r="F32" i="2"/>
  <c r="M34" i="2"/>
  <c r="N34" i="2"/>
  <c r="N35" i="2"/>
  <c r="M35" i="2"/>
  <c r="O35" i="2"/>
  <c r="P35" i="2"/>
  <c r="F35" i="2"/>
  <c r="N37" i="2"/>
  <c r="M37" i="2"/>
  <c r="O37" i="2"/>
  <c r="P37" i="2"/>
  <c r="F37" i="2"/>
  <c r="N38" i="2"/>
  <c r="M38" i="2"/>
  <c r="O38" i="2"/>
  <c r="P38" i="2"/>
  <c r="F38" i="2"/>
  <c r="M39" i="2"/>
  <c r="N39" i="2"/>
  <c r="O39" i="2"/>
  <c r="P39" i="2"/>
  <c r="F39" i="2"/>
  <c r="M6" i="2"/>
  <c r="O6" i="2" s="1"/>
  <c r="P6" i="2" s="1"/>
  <c r="F6" i="2" s="1"/>
  <c r="N6" i="2"/>
  <c r="Q27" i="12"/>
  <c r="Q29" i="12"/>
  <c r="Q28" i="12"/>
  <c r="Q26" i="12"/>
  <c r="Q25" i="12"/>
  <c r="O23" i="7"/>
  <c r="P23" i="7"/>
  <c r="F23" i="7"/>
  <c r="O6" i="17"/>
  <c r="P6" i="17"/>
  <c r="F6" i="17"/>
  <c r="O40" i="6"/>
  <c r="P40" i="6"/>
  <c r="F40" i="6"/>
  <c r="O27" i="17"/>
  <c r="P27" i="17"/>
  <c r="F27" i="17"/>
  <c r="O43" i="2"/>
  <c r="P43" i="2"/>
  <c r="F43" i="2"/>
  <c r="O35" i="6"/>
  <c r="P35" i="6"/>
  <c r="F35" i="6"/>
  <c r="O39" i="3"/>
  <c r="P39" i="3"/>
  <c r="F39" i="3"/>
  <c r="O36" i="2"/>
  <c r="P36" i="2"/>
  <c r="F36" i="2"/>
  <c r="O40" i="2"/>
  <c r="P40" i="2"/>
  <c r="F40" i="2"/>
  <c r="O42" i="2"/>
  <c r="P42" i="2"/>
  <c r="F42" i="2"/>
  <c r="O34" i="2"/>
  <c r="P34" i="2"/>
  <c r="F34" i="2"/>
  <c r="O35" i="18"/>
  <c r="P35" i="18"/>
  <c r="F35" i="18"/>
  <c r="O28" i="18"/>
  <c r="P28" i="18"/>
  <c r="F28" i="18"/>
  <c r="O26" i="18"/>
  <c r="P26" i="18"/>
  <c r="F26" i="18"/>
  <c r="O32" i="18"/>
  <c r="P32" i="18"/>
  <c r="F32" i="18"/>
  <c r="O7" i="18"/>
  <c r="P7" i="18"/>
  <c r="F7" i="18"/>
  <c r="O11" i="18"/>
  <c r="P11" i="18"/>
  <c r="F11" i="18"/>
  <c r="O15" i="18"/>
  <c r="P15" i="18"/>
  <c r="F15" i="18"/>
  <c r="O10" i="18"/>
  <c r="P10" i="18"/>
  <c r="F10" i="18"/>
  <c r="O33" i="18"/>
  <c r="P33" i="18"/>
  <c r="F33" i="18"/>
  <c r="O12" i="18"/>
  <c r="P12" i="18"/>
  <c r="F12" i="18"/>
  <c r="O34" i="18"/>
  <c r="P34" i="18"/>
  <c r="F34" i="18"/>
  <c r="O17" i="18"/>
  <c r="P17" i="18"/>
  <c r="F17" i="18"/>
  <c r="O10" i="11"/>
  <c r="P10" i="11"/>
  <c r="F10" i="11"/>
  <c r="O37" i="11"/>
  <c r="P37" i="11"/>
  <c r="F37" i="11"/>
  <c r="O32" i="5"/>
  <c r="P32" i="5"/>
  <c r="F32" i="5"/>
  <c r="O18" i="5"/>
  <c r="P18" i="5"/>
  <c r="F18" i="5"/>
  <c r="O30" i="5"/>
  <c r="P30" i="5"/>
  <c r="F30" i="5"/>
  <c r="O37" i="5"/>
  <c r="P37" i="5"/>
  <c r="F37" i="5"/>
  <c r="O41" i="5"/>
  <c r="P41" i="5"/>
  <c r="F41" i="5"/>
  <c r="O26" i="5"/>
  <c r="P26" i="5"/>
  <c r="F26" i="5"/>
  <c r="O42" i="5"/>
  <c r="P42" i="5"/>
  <c r="F42" i="5"/>
  <c r="O7" i="5"/>
  <c r="P7" i="5"/>
  <c r="F7" i="5"/>
  <c r="O15" i="5"/>
  <c r="P15" i="5"/>
  <c r="F15" i="5"/>
  <c r="O22" i="15"/>
  <c r="P22" i="15"/>
  <c r="F22" i="15"/>
  <c r="O24" i="15"/>
  <c r="P24" i="15"/>
  <c r="F24" i="15"/>
  <c r="O26" i="15"/>
  <c r="P26" i="15"/>
  <c r="F26" i="15"/>
  <c r="O6" i="15"/>
  <c r="P6" i="15"/>
  <c r="F6" i="15"/>
  <c r="O17" i="15"/>
  <c r="P17" i="15"/>
  <c r="F17" i="15"/>
  <c r="O20" i="15"/>
  <c r="P20" i="15"/>
  <c r="F20" i="15"/>
  <c r="O7" i="15"/>
  <c r="P7" i="15"/>
  <c r="F7" i="15"/>
  <c r="O11" i="15"/>
  <c r="P11" i="15"/>
  <c r="F11" i="15"/>
  <c r="O25" i="15"/>
  <c r="P25" i="15"/>
  <c r="F25" i="15"/>
  <c r="O28" i="15"/>
  <c r="P28" i="15"/>
  <c r="F28" i="15"/>
  <c r="O8" i="15"/>
  <c r="P8" i="15"/>
  <c r="F8" i="15"/>
  <c r="O24" i="17"/>
  <c r="P24" i="17"/>
  <c r="F24" i="17"/>
  <c r="O13" i="17"/>
  <c r="P13" i="17"/>
  <c r="F13" i="17"/>
  <c r="O26" i="17"/>
  <c r="P26" i="17"/>
  <c r="F26" i="17"/>
  <c r="O14" i="17"/>
  <c r="P14" i="17"/>
  <c r="F14" i="17"/>
  <c r="O10" i="17"/>
  <c r="P10" i="17"/>
  <c r="F10" i="17"/>
  <c r="O22" i="17"/>
  <c r="P22" i="17"/>
  <c r="F22" i="17"/>
  <c r="O31" i="17"/>
  <c r="P31" i="17"/>
  <c r="F31" i="17"/>
  <c r="O34" i="17"/>
  <c r="P34" i="17"/>
  <c r="F34" i="17"/>
  <c r="O28" i="17"/>
  <c r="P28" i="17"/>
  <c r="F28" i="17"/>
  <c r="O33" i="17"/>
  <c r="P33" i="17"/>
  <c r="F33" i="17"/>
  <c r="O15" i="20"/>
  <c r="P15" i="20"/>
  <c r="F15" i="20"/>
  <c r="O27" i="20"/>
  <c r="P27" i="20"/>
  <c r="F27" i="20"/>
  <c r="O31" i="20"/>
  <c r="P31" i="20"/>
  <c r="F31" i="20"/>
  <c r="O34" i="20"/>
  <c r="P34" i="20"/>
  <c r="F34" i="20"/>
  <c r="O6" i="20"/>
  <c r="P6" i="20"/>
  <c r="F6" i="20"/>
  <c r="O10" i="20"/>
  <c r="P10" i="20"/>
  <c r="F10" i="20"/>
  <c r="O32" i="20"/>
  <c r="P32" i="20"/>
  <c r="F32" i="20"/>
  <c r="O33" i="20"/>
  <c r="P33" i="20"/>
  <c r="F33" i="20"/>
  <c r="O24" i="20"/>
  <c r="P24" i="20"/>
  <c r="F24" i="20"/>
  <c r="O23" i="20"/>
  <c r="P23" i="20"/>
  <c r="F23" i="20"/>
  <c r="O8" i="20"/>
  <c r="P8" i="20"/>
  <c r="F8" i="20"/>
  <c r="O11" i="20"/>
  <c r="P11" i="20"/>
  <c r="F11" i="20"/>
  <c r="O28" i="20"/>
  <c r="P28" i="20"/>
  <c r="F28" i="20"/>
  <c r="O36" i="20"/>
  <c r="P36" i="20"/>
  <c r="F36" i="20"/>
  <c r="O8" i="7"/>
  <c r="P8" i="7"/>
  <c r="F8" i="7"/>
  <c r="O9" i="7"/>
  <c r="P9" i="7"/>
  <c r="F9" i="7"/>
  <c r="O12" i="7"/>
  <c r="P12" i="7"/>
  <c r="F12" i="7"/>
  <c r="O17" i="7"/>
  <c r="P17" i="7"/>
  <c r="F17" i="7"/>
  <c r="O19" i="7"/>
  <c r="P19" i="7"/>
  <c r="F19" i="7"/>
  <c r="O15" i="7"/>
  <c r="P15" i="7"/>
  <c r="F15" i="7"/>
  <c r="O13" i="9"/>
  <c r="P13" i="9"/>
  <c r="F13" i="9"/>
  <c r="O19" i="9"/>
  <c r="P19" i="9"/>
  <c r="F19" i="9"/>
  <c r="O9" i="9"/>
  <c r="P9" i="9"/>
  <c r="F9" i="9"/>
  <c r="O15" i="9"/>
  <c r="P15" i="9"/>
  <c r="F15" i="9"/>
  <c r="O22" i="9"/>
  <c r="P22" i="9"/>
  <c r="F22" i="9"/>
  <c r="O23" i="9"/>
  <c r="P23" i="9"/>
  <c r="F23" i="9"/>
  <c r="O8" i="9"/>
  <c r="P8" i="9"/>
  <c r="F8" i="9"/>
  <c r="O20" i="9"/>
  <c r="P20" i="9"/>
  <c r="F20" i="9"/>
  <c r="O21" i="9"/>
  <c r="P21" i="9"/>
  <c r="F21" i="9"/>
  <c r="O16" i="9"/>
  <c r="P16" i="9"/>
  <c r="F16" i="9"/>
  <c r="O26" i="9"/>
  <c r="P26" i="9"/>
  <c r="F26" i="9"/>
  <c r="O24" i="13"/>
  <c r="P24" i="13"/>
  <c r="F24" i="13"/>
  <c r="O7" i="13"/>
  <c r="P7" i="13"/>
  <c r="F7" i="13"/>
  <c r="O17" i="13"/>
  <c r="P17" i="13"/>
  <c r="F17" i="13"/>
  <c r="O12" i="13"/>
  <c r="P12" i="13"/>
  <c r="F12" i="13"/>
  <c r="O21" i="13"/>
  <c r="P21" i="13"/>
  <c r="F21" i="13"/>
  <c r="O15" i="13"/>
  <c r="P15" i="13"/>
  <c r="F15" i="13"/>
  <c r="O28" i="13"/>
  <c r="P28" i="13"/>
  <c r="F28" i="13"/>
  <c r="O20" i="13"/>
  <c r="P20" i="13"/>
  <c r="F20" i="13"/>
  <c r="O6" i="13"/>
  <c r="P6" i="13"/>
  <c r="F6" i="13"/>
  <c r="O11" i="13"/>
  <c r="P11" i="13"/>
  <c r="F11" i="13"/>
  <c r="O22" i="13"/>
  <c r="P22" i="13"/>
  <c r="F22" i="13"/>
  <c r="O26" i="13"/>
  <c r="P26" i="13"/>
  <c r="F26" i="13"/>
  <c r="O20" i="4"/>
  <c r="P20" i="4"/>
  <c r="F20" i="4"/>
  <c r="O17" i="4"/>
  <c r="P17" i="4"/>
  <c r="F17" i="4"/>
  <c r="O16" i="4"/>
  <c r="P16" i="4"/>
  <c r="F16" i="4"/>
  <c r="O10" i="4"/>
  <c r="P10" i="4"/>
  <c r="F10" i="4"/>
  <c r="O20" i="8"/>
  <c r="P20" i="8"/>
  <c r="F20" i="8"/>
  <c r="O21" i="8"/>
  <c r="P21" i="8"/>
  <c r="F21" i="8"/>
  <c r="O10" i="8"/>
  <c r="P10" i="8"/>
  <c r="F10" i="8"/>
  <c r="O18" i="8"/>
  <c r="P18" i="8"/>
  <c r="F18" i="8"/>
  <c r="O22" i="8"/>
  <c r="P22" i="8"/>
  <c r="F22" i="8"/>
  <c r="O6" i="8"/>
  <c r="P6" i="8"/>
  <c r="F6" i="8"/>
  <c r="O16" i="8"/>
  <c r="P16" i="8"/>
  <c r="F16" i="8"/>
  <c r="O25" i="8"/>
  <c r="P25" i="8"/>
  <c r="F25" i="8"/>
  <c r="O24" i="8"/>
  <c r="P24" i="8"/>
  <c r="F24" i="8"/>
  <c r="O26" i="10"/>
  <c r="P26" i="10"/>
  <c r="F26" i="10"/>
  <c r="O14" i="10"/>
  <c r="P14" i="10"/>
  <c r="F14" i="10"/>
  <c r="O20" i="10"/>
  <c r="P20" i="10"/>
  <c r="F20" i="10"/>
  <c r="O27" i="10"/>
  <c r="P27" i="10"/>
  <c r="F27" i="10"/>
  <c r="O28" i="10"/>
  <c r="P28" i="10"/>
  <c r="F28" i="10"/>
  <c r="O23" i="10"/>
  <c r="P23" i="10"/>
  <c r="F23" i="10"/>
  <c r="O18" i="10"/>
  <c r="P18" i="10"/>
  <c r="F18" i="10"/>
  <c r="O22" i="10"/>
  <c r="P22" i="10"/>
  <c r="F22" i="10"/>
  <c r="O24" i="10"/>
  <c r="P24" i="10"/>
  <c r="F24" i="10"/>
  <c r="O15" i="10"/>
  <c r="P15" i="10"/>
  <c r="F15" i="10"/>
  <c r="O11" i="12"/>
  <c r="P11" i="12"/>
  <c r="F11" i="12"/>
  <c r="O28" i="12"/>
  <c r="P28" i="12"/>
  <c r="F28" i="12"/>
  <c r="O22" i="12"/>
  <c r="P22" i="12"/>
  <c r="F22" i="12"/>
  <c r="O20" i="12"/>
  <c r="P20" i="12"/>
  <c r="F20" i="12"/>
  <c r="O16" i="12"/>
  <c r="P16" i="12"/>
  <c r="F16" i="12"/>
  <c r="O7" i="12"/>
  <c r="P7" i="12"/>
  <c r="F7" i="12"/>
  <c r="O23" i="12"/>
  <c r="P23" i="12"/>
  <c r="F23" i="12"/>
  <c r="O6" i="12"/>
  <c r="P6" i="12"/>
  <c r="F6" i="12"/>
  <c r="O29" i="12"/>
  <c r="P29" i="12"/>
  <c r="F29" i="12"/>
  <c r="P9" i="12"/>
  <c r="F9" i="12"/>
  <c r="O21" i="12"/>
  <c r="O25" i="12"/>
  <c r="P25" i="12"/>
  <c r="F25" i="12"/>
  <c r="O27" i="12"/>
  <c r="P27" i="12"/>
  <c r="F27" i="12"/>
  <c r="P9" i="16"/>
  <c r="F9" i="16"/>
  <c r="O21" i="16"/>
  <c r="P21" i="16"/>
  <c r="F21" i="16"/>
  <c r="O16" i="16"/>
  <c r="P16" i="16"/>
  <c r="F16" i="16"/>
  <c r="O24" i="16"/>
  <c r="P24" i="16"/>
  <c r="F24" i="16"/>
  <c r="O30" i="16"/>
  <c r="P30" i="16"/>
  <c r="F30" i="16"/>
  <c r="O6" i="16"/>
  <c r="P6" i="16"/>
  <c r="F6" i="16"/>
  <c r="P27" i="16"/>
  <c r="F27" i="16"/>
  <c r="O7" i="16"/>
  <c r="P7" i="16"/>
  <c r="F7" i="16"/>
  <c r="O28" i="16"/>
  <c r="P28" i="16"/>
  <c r="F28" i="16"/>
  <c r="O10" i="16"/>
  <c r="P10" i="16"/>
  <c r="F10" i="16"/>
  <c r="O26" i="16"/>
  <c r="P26" i="16"/>
  <c r="F26" i="16"/>
  <c r="O13" i="16"/>
  <c r="P13" i="16"/>
  <c r="F13" i="16"/>
  <c r="P29" i="16"/>
  <c r="F29" i="16"/>
  <c r="O36" i="16"/>
  <c r="P36" i="16"/>
  <c r="F36" i="16"/>
  <c r="O33" i="16"/>
  <c r="P33" i="16"/>
  <c r="F33" i="16"/>
  <c r="O35" i="16"/>
  <c r="P35" i="16"/>
  <c r="F35" i="16"/>
  <c r="O16" i="19"/>
  <c r="P16" i="19"/>
  <c r="F16" i="19"/>
  <c r="O9" i="19"/>
  <c r="P9" i="19"/>
  <c r="F9" i="19"/>
  <c r="O13" i="19"/>
  <c r="P13" i="19"/>
  <c r="F13" i="19"/>
  <c r="O27" i="19"/>
  <c r="P27" i="19"/>
  <c r="F27" i="19"/>
  <c r="O25" i="19"/>
  <c r="P25" i="19"/>
  <c r="F25" i="19"/>
  <c r="O24" i="19"/>
  <c r="P24" i="19"/>
  <c r="F24" i="19"/>
  <c r="O30" i="19"/>
  <c r="P30" i="19"/>
  <c r="F30" i="19"/>
  <c r="O6" i="19"/>
  <c r="P6" i="19"/>
  <c r="F6" i="19"/>
  <c r="O12" i="19"/>
  <c r="P12" i="19"/>
  <c r="F12" i="19"/>
  <c r="O11" i="19"/>
  <c r="P11" i="19"/>
  <c r="F11" i="19"/>
  <c r="O14" i="19"/>
  <c r="P14" i="19"/>
  <c r="F14" i="19"/>
  <c r="O31" i="19"/>
  <c r="P31" i="19"/>
  <c r="F31" i="19"/>
  <c r="O29" i="19"/>
  <c r="P29" i="19"/>
  <c r="F29" i="19"/>
  <c r="O34" i="19"/>
  <c r="P34" i="19"/>
  <c r="F34" i="19"/>
  <c r="O35" i="19"/>
  <c r="P35" i="19"/>
  <c r="F35" i="19"/>
  <c r="O10" i="21"/>
  <c r="P10" i="21"/>
  <c r="F10" i="21"/>
  <c r="O11" i="21"/>
  <c r="P11" i="21"/>
  <c r="F11" i="21"/>
  <c r="O31" i="21"/>
  <c r="P31" i="21"/>
  <c r="F31" i="21"/>
  <c r="O23" i="21"/>
  <c r="P23" i="21"/>
  <c r="F23" i="21"/>
  <c r="O32" i="21"/>
  <c r="P32" i="21"/>
  <c r="F32" i="21"/>
  <c r="O29" i="21"/>
  <c r="P29" i="21"/>
  <c r="F29" i="21"/>
  <c r="O30" i="21"/>
  <c r="P30" i="21"/>
  <c r="F30" i="21"/>
  <c r="O26" i="14"/>
  <c r="P26" i="14"/>
  <c r="F26" i="14"/>
  <c r="O6" i="14"/>
  <c r="P6" i="14"/>
  <c r="F6" i="14"/>
  <c r="O15" i="14"/>
  <c r="P15" i="14"/>
  <c r="F15" i="14"/>
  <c r="O37" i="14"/>
  <c r="P37" i="14"/>
  <c r="F37" i="14"/>
  <c r="O10" i="14"/>
  <c r="P10" i="14"/>
  <c r="F10" i="14"/>
  <c r="O36" i="6"/>
  <c r="P36" i="6"/>
  <c r="F36" i="6"/>
  <c r="O16" i="6"/>
  <c r="P16" i="6"/>
  <c r="F16" i="6"/>
  <c r="O9" i="6"/>
  <c r="P9" i="6"/>
  <c r="F9" i="6"/>
  <c r="O28" i="6"/>
  <c r="P28" i="6"/>
  <c r="F28" i="6"/>
  <c r="O12" i="6"/>
  <c r="P12" i="6"/>
  <c r="F12" i="6"/>
  <c r="O8" i="6"/>
  <c r="P8" i="6"/>
  <c r="F8" i="6"/>
  <c r="O40" i="3"/>
  <c r="P40" i="3"/>
  <c r="F40" i="3"/>
  <c r="O35" i="17"/>
  <c r="P35" i="17"/>
  <c r="F35" i="17"/>
  <c r="O35" i="3"/>
  <c r="P35" i="3"/>
  <c r="F35" i="3"/>
  <c r="O32" i="16"/>
  <c r="P32" i="16"/>
  <c r="F32" i="16"/>
  <c r="O19" i="13"/>
  <c r="P19" i="13"/>
  <c r="F19" i="13"/>
  <c r="O27" i="13"/>
  <c r="P27" i="13"/>
  <c r="F27" i="13"/>
  <c r="O25" i="13"/>
  <c r="P25" i="13"/>
  <c r="F25" i="13"/>
  <c r="O29" i="15"/>
  <c r="P29" i="15"/>
  <c r="F29" i="15"/>
  <c r="O17" i="8"/>
  <c r="P17" i="8"/>
  <c r="F17" i="8"/>
  <c r="O24" i="9"/>
  <c r="P24" i="9"/>
  <c r="F24" i="9"/>
  <c r="P29" i="20"/>
  <c r="F29" i="20"/>
  <c r="O33" i="19"/>
  <c r="P33" i="19"/>
  <c r="F33" i="19"/>
  <c r="P26" i="8"/>
  <c r="F26" i="8"/>
  <c r="P37" i="18"/>
  <c r="F37" i="18"/>
  <c r="O41" i="6"/>
  <c r="P41" i="6"/>
  <c r="F41" i="6"/>
  <c r="O17" i="9"/>
  <c r="P17" i="9"/>
  <c r="F17" i="9"/>
  <c r="O35" i="20"/>
  <c r="P35" i="20"/>
  <c r="F35" i="20"/>
  <c r="O36" i="17"/>
  <c r="P36" i="17"/>
  <c r="F36" i="17"/>
  <c r="O41" i="3"/>
  <c r="P41" i="3"/>
  <c r="F41" i="3"/>
  <c r="O41" i="2"/>
  <c r="P41" i="2"/>
  <c r="F41" i="2"/>
  <c r="O39" i="6"/>
  <c r="P39" i="6"/>
  <c r="F39" i="6"/>
  <c r="O22" i="7"/>
  <c r="P22" i="7"/>
  <c r="F22" i="7"/>
  <c r="O28" i="21"/>
  <c r="P28" i="21"/>
  <c r="F28" i="21"/>
  <c r="P21" i="12"/>
  <c r="F21" i="12"/>
  <c r="O19" i="10"/>
  <c r="P19" i="10"/>
  <c r="F19" i="10"/>
  <c r="O22" i="16"/>
  <c r="P22" i="16"/>
  <c r="F22" i="16"/>
  <c r="O25" i="10"/>
  <c r="P25" i="10"/>
  <c r="F25" i="10"/>
  <c r="O9" i="10"/>
  <c r="P9" i="10"/>
  <c r="F9" i="10"/>
  <c r="O8" i="21"/>
  <c r="P8" i="21"/>
  <c r="F8" i="21"/>
  <c r="O13" i="21"/>
  <c r="P13" i="21"/>
  <c r="F13" i="21"/>
  <c r="O21" i="21"/>
  <c r="P21" i="21"/>
  <c r="F21" i="21"/>
  <c r="O25" i="14"/>
  <c r="P25" i="14"/>
  <c r="F25" i="14"/>
  <c r="O18" i="14"/>
  <c r="P18" i="14"/>
  <c r="F18" i="14"/>
  <c r="O16" i="14"/>
  <c r="P16" i="14"/>
  <c r="F16" i="14"/>
  <c r="O24" i="14"/>
  <c r="P24" i="14"/>
  <c r="F24" i="14"/>
  <c r="O17" i="14"/>
  <c r="P17" i="14"/>
  <c r="F17" i="14"/>
  <c r="O14" i="14"/>
  <c r="P14" i="14"/>
  <c r="F14" i="14"/>
  <c r="O11" i="14"/>
  <c r="P11" i="14"/>
  <c r="F11" i="14"/>
  <c r="O35" i="14"/>
  <c r="P35" i="14"/>
  <c r="F35" i="14"/>
  <c r="O33" i="14"/>
  <c r="P33" i="14"/>
  <c r="F33" i="14"/>
  <c r="O34" i="14"/>
  <c r="P34" i="14"/>
  <c r="F34" i="14"/>
  <c r="O28" i="14"/>
  <c r="P28" i="14"/>
  <c r="F28" i="14"/>
  <c r="O38" i="14"/>
  <c r="P38" i="14"/>
  <c r="F38" i="14"/>
  <c r="O39" i="14"/>
  <c r="P39" i="14"/>
  <c r="F39" i="14"/>
  <c r="O29" i="11"/>
  <c r="P29" i="11"/>
  <c r="F29" i="11"/>
  <c r="O36" i="19"/>
  <c r="P36" i="19"/>
  <c r="F36" i="19"/>
  <c r="O22" i="11"/>
  <c r="P22" i="11"/>
  <c r="F22" i="11"/>
  <c r="O38" i="11"/>
  <c r="P38" i="11"/>
  <c r="F38" i="11"/>
  <c r="O30" i="11"/>
  <c r="P30" i="11"/>
  <c r="F30" i="11"/>
</calcChain>
</file>

<file path=xl/sharedStrings.xml><?xml version="1.0" encoding="utf-8"?>
<sst xmlns="http://schemas.openxmlformats.org/spreadsheetml/2006/main" count="1157" uniqueCount="150">
  <si>
    <t>Øvelse</t>
  </si>
  <si>
    <t>Resultat</t>
  </si>
  <si>
    <t>Poeng</t>
  </si>
  <si>
    <t>1000 poeng</t>
  </si>
  <si>
    <t>Kvotient</t>
  </si>
  <si>
    <t>Faktor 1</t>
  </si>
  <si>
    <t>Faktor 2</t>
  </si>
  <si>
    <t>Faktor 3</t>
  </si>
  <si>
    <t>60 m</t>
  </si>
  <si>
    <t>600 m</t>
  </si>
  <si>
    <t>Høyde</t>
  </si>
  <si>
    <t>Lengde</t>
  </si>
  <si>
    <t>Tyrvingtabellen Gutter 19 år</t>
  </si>
  <si>
    <t>100 m</t>
  </si>
  <si>
    <t>200 m</t>
  </si>
  <si>
    <t>300 m</t>
  </si>
  <si>
    <t>400 m</t>
  </si>
  <si>
    <t>1000 m</t>
  </si>
  <si>
    <t>1500 m</t>
  </si>
  <si>
    <t>2000 m</t>
  </si>
  <si>
    <t>800 m</t>
  </si>
  <si>
    <t>3000 m</t>
  </si>
  <si>
    <t>5000 m</t>
  </si>
  <si>
    <t>10000 m</t>
  </si>
  <si>
    <t>1500 m hinder</t>
  </si>
  <si>
    <t>2000 m hinder</t>
  </si>
  <si>
    <t>3000 m hinder</t>
  </si>
  <si>
    <t>Høyde uten tilløp</t>
  </si>
  <si>
    <t>Stav</t>
  </si>
  <si>
    <t>Lengde uten tilløp</t>
  </si>
  <si>
    <t>Tresteg</t>
  </si>
  <si>
    <t>Tyrvingtabellen Jenter 19 år</t>
  </si>
  <si>
    <t>Minutter</t>
  </si>
  <si>
    <t>Sekunder</t>
  </si>
  <si>
    <t>Meter</t>
  </si>
  <si>
    <t>Kun gule felt kan fylles ut, poengresultatet kommer i grønt felt</t>
  </si>
  <si>
    <t>Når markøren flyttes vekk fra feltet vises automatisk poengresultatet</t>
  </si>
  <si>
    <t>- en side for gutter og en side for jenter</t>
  </si>
  <si>
    <t>Bergens Turnforening,</t>
  </si>
  <si>
    <t>5019 Bergen</t>
  </si>
  <si>
    <t>Helt ferdig utregnet poengtabell kan bestilles fra:</t>
  </si>
  <si>
    <t>0840 Oslo</t>
  </si>
  <si>
    <t>E-post: friidrett@friidrett.no</t>
  </si>
  <si>
    <t>Tlf. 21 02 90 00 - telefax 21 02 99 01</t>
  </si>
  <si>
    <t>Tabellen inneholder 1000-poengs resultatene og multiplikatorene</t>
  </si>
  <si>
    <t>Tyrvingtabellen Jenter 18 år</t>
  </si>
  <si>
    <t>Tyrvingtabellen Gutter 18 år</t>
  </si>
  <si>
    <t>Sett inn resultatet i boksen ved siden av øvelsesnavnet.</t>
  </si>
  <si>
    <t>Tabellen forutsetter at det er benyttet automatisk tidtaking.</t>
  </si>
  <si>
    <t>På distanser opp til og med 500 m skal hundredels sekunder tas</t>
  </si>
  <si>
    <t>hensyn til ved poengutregningen.</t>
  </si>
  <si>
    <t>I lengre løp skal hundredeler strykes.</t>
  </si>
  <si>
    <t>Ved manuelle tider må det gjøres følgende tillegg:</t>
  </si>
  <si>
    <t>100 m, 110 m, 200 m påplusses 0,24 sekunder.</t>
  </si>
  <si>
    <t>60 m, 80 m, 300 m påplusses 0,20 sekunder.</t>
  </si>
  <si>
    <t>400 m påplusses 0,14 sekunder.</t>
  </si>
  <si>
    <t>v/ Odd M. Lahn-Johannessen</t>
  </si>
  <si>
    <t>Dette regnearket kan  distribueres fritt, men skal ikke endres</t>
  </si>
  <si>
    <t>Tlf. 55 95 92 26 (A) - 55 31 69 82 (P)</t>
  </si>
  <si>
    <t>Den offisielle utgaven av Tyrvingtabellen er en to siders tabell</t>
  </si>
  <si>
    <t>Tabellen oppdateres av Statistikk-og Rekordutvalget</t>
  </si>
  <si>
    <t>Tyrvingtabellen Gutter 17 år</t>
  </si>
  <si>
    <t>Tyrvingtabellen Jenter 17 år</t>
  </si>
  <si>
    <t>Tyrvingtabellen Gutter 16 år</t>
  </si>
  <si>
    <t>Tyrvingtabellen Jenter 16 år</t>
  </si>
  <si>
    <t>Tyrvingtabellen Gutter 15 år</t>
  </si>
  <si>
    <t>Tyrvingtabellen Jenter 15 år</t>
  </si>
  <si>
    <t>Tyrvingtabellen Gutter 14 år</t>
  </si>
  <si>
    <t>40 m</t>
  </si>
  <si>
    <t>80 m</t>
  </si>
  <si>
    <t>Tyrvingtabellen Jenter 14 år</t>
  </si>
  <si>
    <t>Tyrvingtabellen Gutter 13 år</t>
  </si>
  <si>
    <t>Tyrvingtabellen Jenter 13 år</t>
  </si>
  <si>
    <t>Tyrvingtabellen Gutter 12 år</t>
  </si>
  <si>
    <t>Tyrvingtabellen Jenter 12 år</t>
  </si>
  <si>
    <t>Tyrvingtabellen Gutter 11 år</t>
  </si>
  <si>
    <t>Tyrvingtabellen Jenter 11 år</t>
  </si>
  <si>
    <t>Tyrvingtabellen Gutter 10 år</t>
  </si>
  <si>
    <t>Tyrvingtabellen Jenter 10 år</t>
  </si>
  <si>
    <t xml:space="preserve">60 m hekk </t>
  </si>
  <si>
    <t>68,0cm/19m</t>
  </si>
  <si>
    <t xml:space="preserve">200 m hekk </t>
  </si>
  <si>
    <t>2 kg</t>
  </si>
  <si>
    <t>0,6 kg</t>
  </si>
  <si>
    <t>0,4 kg</t>
  </si>
  <si>
    <t>1kg/Kort reim</t>
  </si>
  <si>
    <t xml:space="preserve">Kule </t>
  </si>
  <si>
    <t xml:space="preserve">Diskos </t>
  </si>
  <si>
    <t xml:space="preserve">Slegge </t>
  </si>
  <si>
    <t xml:space="preserve">Spyd </t>
  </si>
  <si>
    <t xml:space="preserve">Liten ball </t>
  </si>
  <si>
    <t xml:space="preserve">Slengball  </t>
  </si>
  <si>
    <t xml:space="preserve">Slengball </t>
  </si>
  <si>
    <t>68,0cm/18,29m</t>
  </si>
  <si>
    <t>2kg</t>
  </si>
  <si>
    <t>0,6kg</t>
  </si>
  <si>
    <t>0,4kg</t>
  </si>
  <si>
    <t>68,0cm/6,5m</t>
  </si>
  <si>
    <t>76,2cm/19m</t>
  </si>
  <si>
    <t>3kg</t>
  </si>
  <si>
    <t>0,75kg</t>
  </si>
  <si>
    <t>150g</t>
  </si>
  <si>
    <t xml:space="preserve">300 m hekk </t>
  </si>
  <si>
    <t>76,2cm/35m</t>
  </si>
  <si>
    <t xml:space="preserve">80 m hekk </t>
  </si>
  <si>
    <t>84,0cm/8m</t>
  </si>
  <si>
    <t>76,2cm/7,5m</t>
  </si>
  <si>
    <t>91,4cm</t>
  </si>
  <si>
    <t>4kg</t>
  </si>
  <si>
    <t>1kg</t>
  </si>
  <si>
    <t>4kg/119,5cm</t>
  </si>
  <si>
    <t>76,2cm/8m</t>
  </si>
  <si>
    <t>76,2cm</t>
  </si>
  <si>
    <t xml:space="preserve">100 m hekk </t>
  </si>
  <si>
    <t>91,4cm/8,5m</t>
  </si>
  <si>
    <t>76,2cm/18,29m</t>
  </si>
  <si>
    <t xml:space="preserve">91,4cm </t>
  </si>
  <si>
    <t xml:space="preserve">400 m hekk </t>
  </si>
  <si>
    <t>76,2cm/8,5m</t>
  </si>
  <si>
    <t>84,0cm/8,5m</t>
  </si>
  <si>
    <t xml:space="preserve">110 m hekk </t>
  </si>
  <si>
    <t>100,0cm/9,14m</t>
  </si>
  <si>
    <t>106,7cm/9,14m</t>
  </si>
  <si>
    <t>91,4cm/35m</t>
  </si>
  <si>
    <t>5kg</t>
  </si>
  <si>
    <t>1,5kg</t>
  </si>
  <si>
    <t>5kg/120cm</t>
  </si>
  <si>
    <t>0,8kg</t>
  </si>
  <si>
    <t>0,7kg</t>
  </si>
  <si>
    <t>84,0cm/35m</t>
  </si>
  <si>
    <t>1,75kg</t>
  </si>
  <si>
    <t>6kg</t>
  </si>
  <si>
    <t>6kg/121,5cm</t>
  </si>
  <si>
    <t>E-post: olmj@online.no</t>
  </si>
  <si>
    <t>Ole Irgens vei 13</t>
  </si>
  <si>
    <t>Den utgaven er nedlastbar fra http://www.friidrett.no/</t>
  </si>
  <si>
    <t>Internett: http://www.friidrett.no/</t>
  </si>
  <si>
    <t>Kappgang</t>
  </si>
  <si>
    <t>20000 m</t>
  </si>
  <si>
    <t>76,2cm/7m</t>
  </si>
  <si>
    <t>(Dersom flikene for hver aldersklasse nederst i regnearket ikke vises, så maksimer regnearket ditt, da de trolig under kanten på skjermen din)</t>
  </si>
  <si>
    <t>Norges Friidrettsforbund</t>
  </si>
  <si>
    <t>I Excel 2007 og senere, minimer Verktøylinjen for å få se arkfanene.</t>
  </si>
  <si>
    <t>3kg/119,5cm</t>
  </si>
  <si>
    <t>0,5kg</t>
  </si>
  <si>
    <r>
      <t xml:space="preserve">Tyrvingtabellen   </t>
    </r>
    <r>
      <rPr>
        <b/>
        <i/>
        <sz val="24"/>
        <rFont val="Arial"/>
        <family val="2"/>
      </rPr>
      <t>(2014-utgave)</t>
    </r>
  </si>
  <si>
    <t>© Norges Friidrettsforbund 2014</t>
  </si>
  <si>
    <t>91,4cm/9,14m</t>
  </si>
  <si>
    <t>2kg/110cm</t>
  </si>
  <si>
    <t>2 kg/110cm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</si>
</sst>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6" x14ac:knownFonts="1">
    <font>
      <sz val="10"/>
      <name val="Arial"/>
    </font>
    <font>
      <sz val="26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i/>
      <sz val="24"/>
      <name val="Arial"/>
      <family val="2"/>
    </font>
    <font>
      <b/>
      <i/>
      <sz val="10"/>
      <color indexed="9"/>
      <name val="Arial"/>
      <family val="2"/>
    </font>
    <font>
      <b/>
      <i/>
      <sz val="14"/>
      <color indexed="9"/>
      <name val="Arial"/>
      <family val="2"/>
    </font>
    <font>
      <i/>
      <sz val="10"/>
      <name val="Arial"/>
      <family val="2"/>
    </font>
    <font>
      <b/>
      <sz val="12"/>
      <color indexed="9"/>
      <name val="Arial"/>
      <family val="2"/>
    </font>
    <font>
      <b/>
      <i/>
      <sz val="12"/>
      <color indexed="9"/>
      <name val="Arial"/>
      <family val="2"/>
    </font>
    <font>
      <i/>
      <sz val="12"/>
      <color indexed="9"/>
      <name val="Arial"/>
      <family val="2"/>
    </font>
    <font>
      <sz val="6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lightGray">
        <bgColor indexed="41"/>
      </patternFill>
    </fill>
    <fill>
      <patternFill patternType="lightGray">
        <bgColor indexed="43"/>
      </patternFill>
    </fill>
    <fill>
      <patternFill patternType="solid">
        <fgColor indexed="4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2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left"/>
    </xf>
    <xf numFmtId="2" fontId="3" fillId="0" borderId="0" xfId="0" applyNumberFormat="1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2" borderId="0" xfId="0" applyNumberFormat="1" applyFill="1"/>
    <xf numFmtId="1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3" fillId="3" borderId="0" xfId="0" applyFont="1" applyFill="1"/>
    <xf numFmtId="0" fontId="0" fillId="5" borderId="3" xfId="0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1" fontId="0" fillId="2" borderId="5" xfId="0" applyNumberFormat="1" applyFill="1" applyBorder="1" applyAlignment="1" applyProtection="1">
      <alignment horizontal="right"/>
      <protection locked="0"/>
    </xf>
    <xf numFmtId="1" fontId="0" fillId="2" borderId="1" xfId="0" applyNumberFormat="1" applyFill="1" applyBorder="1" applyAlignment="1" applyProtection="1">
      <alignment horizontal="right"/>
      <protection locked="0"/>
    </xf>
    <xf numFmtId="1" fontId="0" fillId="2" borderId="3" xfId="0" applyNumberFormat="1" applyFill="1" applyBorder="1" applyAlignment="1" applyProtection="1">
      <alignment horizontal="right"/>
      <protection locked="0"/>
    </xf>
    <xf numFmtId="0" fontId="0" fillId="6" borderId="3" xfId="0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1" fontId="0" fillId="6" borderId="3" xfId="0" applyNumberFormat="1" applyFill="1" applyBorder="1" applyAlignment="1">
      <alignment horizontal="right"/>
    </xf>
    <xf numFmtId="1" fontId="0" fillId="6" borderId="4" xfId="0" applyNumberFormat="1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0" fillId="4" borderId="6" xfId="0" applyFill="1" applyBorder="1" applyAlignment="1">
      <alignment horizontal="left"/>
    </xf>
    <xf numFmtId="0" fontId="9" fillId="0" borderId="0" xfId="0" applyFont="1"/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11" fillId="7" borderId="1" xfId="0" applyFont="1" applyFill="1" applyBorder="1" applyAlignment="1">
      <alignment horizontal="right"/>
    </xf>
    <xf numFmtId="0" fontId="10" fillId="7" borderId="1" xfId="0" applyFont="1" applyFill="1" applyBorder="1" applyAlignment="1">
      <alignment horizontal="right"/>
    </xf>
    <xf numFmtId="0" fontId="11" fillId="7" borderId="4" xfId="0" applyFont="1" applyFill="1" applyBorder="1" applyAlignment="1">
      <alignment horizontal="right"/>
    </xf>
    <xf numFmtId="0" fontId="11" fillId="7" borderId="5" xfId="0" applyFont="1" applyFill="1" applyBorder="1" applyAlignment="1">
      <alignment horizontal="right"/>
    </xf>
    <xf numFmtId="0" fontId="11" fillId="7" borderId="3" xfId="0" applyFont="1" applyFill="1" applyBorder="1" applyAlignment="1">
      <alignment horizontal="right"/>
    </xf>
    <xf numFmtId="1" fontId="0" fillId="0" borderId="2" xfId="0" applyNumberFormat="1" applyBorder="1" applyAlignment="1">
      <alignment horizontal="right"/>
    </xf>
    <xf numFmtId="14" fontId="13" fillId="0" borderId="0" xfId="0" applyNumberFormat="1" applyFont="1"/>
    <xf numFmtId="0" fontId="13" fillId="0" borderId="0" xfId="0" applyFont="1"/>
    <xf numFmtId="0" fontId="3" fillId="8" borderId="0" xfId="0" applyFont="1" applyFill="1"/>
    <xf numFmtId="0" fontId="0" fillId="8" borderId="0" xfId="0" applyFill="1"/>
    <xf numFmtId="0" fontId="15" fillId="0" borderId="0" xfId="0" applyFont="1"/>
    <xf numFmtId="0" fontId="0" fillId="9" borderId="0" xfId="0" applyFill="1"/>
    <xf numFmtId="0" fontId="3" fillId="9" borderId="0" xfId="0" applyFont="1" applyFill="1"/>
    <xf numFmtId="0" fontId="0" fillId="4" borderId="9" xfId="0" applyFill="1" applyBorder="1" applyAlignment="1">
      <alignment horizontal="left"/>
    </xf>
    <xf numFmtId="1" fontId="0" fillId="6" borderId="1" xfId="0" applyNumberFormat="1" applyFill="1" applyBorder="1" applyAlignment="1">
      <alignment horizontal="right"/>
    </xf>
    <xf numFmtId="0" fontId="0" fillId="6" borderId="10" xfId="0" applyFill="1" applyBorder="1" applyAlignment="1">
      <alignment horizontal="right"/>
    </xf>
    <xf numFmtId="0" fontId="14" fillId="4" borderId="2" xfId="0" applyFont="1" applyFill="1" applyBorder="1" applyAlignment="1">
      <alignment horizontal="right"/>
    </xf>
    <xf numFmtId="0" fontId="14" fillId="4" borderId="6" xfId="0" applyFont="1" applyFill="1" applyBorder="1" applyAlignment="1">
      <alignment horizontal="left"/>
    </xf>
    <xf numFmtId="0" fontId="7" fillId="10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0" fontId="0" fillId="12" borderId="0" xfId="0" applyFill="1"/>
    <xf numFmtId="0" fontId="10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76200</xdr:rowOff>
    </xdr:from>
    <xdr:to>
      <xdr:col>6</xdr:col>
      <xdr:colOff>333375</xdr:colOff>
      <xdr:row>13</xdr:row>
      <xdr:rowOff>133350</xdr:rowOff>
    </xdr:to>
    <xdr:pic>
      <xdr:nvPicPr>
        <xdr:cNvPr id="1091" name="Picture 2" descr="K:\Org\Grafikk\norsk friidrett\Logo liggende.jpg">
          <a:extLst>
            <a:ext uri="{FF2B5EF4-FFF2-40B4-BE49-F238E27FC236}">
              <a16:creationId xmlns:a16="http://schemas.microsoft.com/office/drawing/2014/main" id="{BEB0A643-952E-48E7-8801-01E76DB97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6200"/>
          <a:ext cx="4676775" cy="2162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7"/>
  </sheetPr>
  <dimension ref="A15:M43"/>
  <sheetViews>
    <sheetView showGridLines="0" showRowColHeaders="0" showOutlineSymbols="0" workbookViewId="0">
      <selection activeCell="B42" sqref="B42"/>
    </sheetView>
  </sheetViews>
  <sheetFormatPr baseColWidth="10" defaultColWidth="8.83203125" defaultRowHeight="13" x14ac:dyDescent="0.15"/>
  <cols>
    <col min="1" max="256" width="11.5" customWidth="1"/>
  </cols>
  <sheetData>
    <row r="15" spans="1:11" ht="30" x14ac:dyDescent="0.3">
      <c r="A15" s="9"/>
      <c r="B15" s="9" t="s">
        <v>145</v>
      </c>
      <c r="C15" s="9"/>
      <c r="D15" s="9"/>
      <c r="E15" s="9"/>
      <c r="F15" s="9"/>
      <c r="G15" s="9"/>
      <c r="H15" s="9"/>
      <c r="I15" s="45"/>
      <c r="J15" s="9"/>
      <c r="K15" s="9"/>
    </row>
    <row r="19" spans="2:13" x14ac:dyDescent="0.15">
      <c r="B19" s="53" t="s">
        <v>57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</row>
    <row r="20" spans="2:13" x14ac:dyDescent="0.15">
      <c r="B20" s="53" t="s">
        <v>140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</row>
    <row r="22" spans="2:13" x14ac:dyDescent="0.15">
      <c r="B22" s="12" t="s">
        <v>47</v>
      </c>
      <c r="C22" s="12"/>
      <c r="D22" s="12"/>
      <c r="E22" s="12"/>
      <c r="F22" s="12"/>
      <c r="H22" s="46" t="s">
        <v>48</v>
      </c>
      <c r="I22" s="46"/>
      <c r="J22" s="46"/>
      <c r="K22" s="46"/>
      <c r="L22" s="46"/>
      <c r="M22" s="46"/>
    </row>
    <row r="23" spans="2:13" x14ac:dyDescent="0.15">
      <c r="B23" s="12" t="s">
        <v>36</v>
      </c>
      <c r="C23" s="12"/>
      <c r="D23" s="12"/>
      <c r="E23" s="12"/>
      <c r="F23" s="12"/>
      <c r="H23" s="46" t="s">
        <v>49</v>
      </c>
      <c r="I23" s="46"/>
      <c r="J23" s="46"/>
      <c r="K23" s="46"/>
      <c r="L23" s="46"/>
      <c r="M23" s="46"/>
    </row>
    <row r="24" spans="2:13" x14ac:dyDescent="0.15">
      <c r="B24" s="12" t="s">
        <v>35</v>
      </c>
      <c r="C24" s="12"/>
      <c r="D24" s="12"/>
      <c r="E24" s="12"/>
      <c r="F24" s="12"/>
      <c r="H24" s="46" t="s">
        <v>50</v>
      </c>
      <c r="I24" s="46"/>
      <c r="J24" s="46"/>
      <c r="K24" s="46"/>
      <c r="L24" s="46"/>
      <c r="M24" s="46"/>
    </row>
    <row r="25" spans="2:13" x14ac:dyDescent="0.15">
      <c r="H25" s="46" t="s">
        <v>51</v>
      </c>
      <c r="I25" s="46"/>
      <c r="J25" s="46"/>
      <c r="K25" s="46"/>
      <c r="L25" s="46"/>
      <c r="M25" s="46"/>
    </row>
    <row r="26" spans="2:13" x14ac:dyDescent="0.15">
      <c r="B26" s="10" t="s">
        <v>59</v>
      </c>
      <c r="C26" s="10"/>
      <c r="D26" s="10"/>
      <c r="E26" s="10"/>
      <c r="F26" s="10"/>
      <c r="H26" s="47" t="s">
        <v>52</v>
      </c>
      <c r="I26" s="46"/>
      <c r="J26" s="46"/>
      <c r="K26" s="46"/>
      <c r="L26" s="46"/>
      <c r="M26" s="46"/>
    </row>
    <row r="27" spans="2:13" x14ac:dyDescent="0.15">
      <c r="B27" s="13" t="s">
        <v>37</v>
      </c>
      <c r="C27" s="13"/>
      <c r="D27" s="13"/>
      <c r="E27" s="13"/>
      <c r="F27" s="13"/>
      <c r="H27" s="46" t="s">
        <v>53</v>
      </c>
      <c r="I27" s="46"/>
      <c r="J27" s="46"/>
      <c r="K27" s="46"/>
      <c r="L27" s="46"/>
      <c r="M27" s="46"/>
    </row>
    <row r="28" spans="2:13" x14ac:dyDescent="0.15">
      <c r="B28" s="13" t="s">
        <v>44</v>
      </c>
      <c r="C28" s="13"/>
      <c r="D28" s="13"/>
      <c r="E28" s="13"/>
      <c r="F28" s="13"/>
      <c r="H28" s="46" t="s">
        <v>54</v>
      </c>
      <c r="I28" s="46"/>
      <c r="J28" s="46"/>
      <c r="K28" s="46"/>
      <c r="L28" s="46"/>
      <c r="M28" s="46"/>
    </row>
    <row r="29" spans="2:13" x14ac:dyDescent="0.15">
      <c r="B29" s="13" t="s">
        <v>135</v>
      </c>
      <c r="C29" s="13"/>
      <c r="D29" s="13"/>
      <c r="E29" s="13"/>
      <c r="F29" s="13"/>
      <c r="H29" s="46" t="s">
        <v>55</v>
      </c>
      <c r="I29" s="46"/>
      <c r="J29" s="46"/>
      <c r="K29" s="46"/>
      <c r="L29" s="46"/>
      <c r="M29" s="46"/>
    </row>
    <row r="31" spans="2:13" x14ac:dyDescent="0.15">
      <c r="B31" s="17" t="s">
        <v>40</v>
      </c>
      <c r="C31" s="11"/>
      <c r="D31" s="11"/>
      <c r="E31" s="11"/>
      <c r="F31" s="11"/>
      <c r="H31" s="43" t="s">
        <v>141</v>
      </c>
      <c r="I31" s="44"/>
      <c r="J31" s="44"/>
      <c r="K31" s="44"/>
      <c r="L31" s="44"/>
      <c r="M31" s="44"/>
    </row>
    <row r="32" spans="2:13" x14ac:dyDescent="0.15">
      <c r="B32" s="11" t="s">
        <v>38</v>
      </c>
      <c r="C32" s="11"/>
      <c r="D32" s="11"/>
      <c r="E32" s="11"/>
      <c r="F32" s="11"/>
      <c r="H32" s="44" t="s">
        <v>41</v>
      </c>
      <c r="I32" s="44"/>
      <c r="J32" s="44"/>
      <c r="K32" s="44"/>
      <c r="L32" s="44"/>
      <c r="M32" s="44"/>
    </row>
    <row r="33" spans="1:13" x14ac:dyDescent="0.15">
      <c r="B33" s="11" t="s">
        <v>56</v>
      </c>
      <c r="C33" s="11"/>
      <c r="D33" s="11"/>
      <c r="E33" s="11"/>
      <c r="F33" s="11"/>
      <c r="H33" s="44" t="s">
        <v>42</v>
      </c>
      <c r="I33" s="44"/>
      <c r="J33" s="44"/>
      <c r="K33" s="44"/>
      <c r="L33" s="44"/>
      <c r="M33" s="44"/>
    </row>
    <row r="34" spans="1:13" x14ac:dyDescent="0.15">
      <c r="B34" s="11" t="s">
        <v>134</v>
      </c>
      <c r="C34" s="11"/>
      <c r="D34" s="11"/>
      <c r="E34" s="11"/>
      <c r="F34" s="11"/>
      <c r="H34" s="44" t="s">
        <v>43</v>
      </c>
      <c r="I34" s="44"/>
      <c r="J34" s="44"/>
      <c r="K34" s="44"/>
      <c r="L34" s="44"/>
      <c r="M34" s="44"/>
    </row>
    <row r="35" spans="1:13" x14ac:dyDescent="0.15">
      <c r="B35" s="11" t="s">
        <v>39</v>
      </c>
      <c r="C35" s="11"/>
      <c r="D35" s="11"/>
      <c r="E35" s="11"/>
      <c r="F35" s="11"/>
      <c r="H35" s="44" t="s">
        <v>136</v>
      </c>
      <c r="I35" s="44"/>
      <c r="J35" s="44"/>
      <c r="K35" s="44"/>
      <c r="L35" s="44"/>
      <c r="M35" s="44"/>
    </row>
    <row r="36" spans="1:13" x14ac:dyDescent="0.15">
      <c r="B36" s="11" t="s">
        <v>133</v>
      </c>
      <c r="C36" s="11"/>
      <c r="D36" s="11"/>
      <c r="E36" s="11"/>
      <c r="F36" s="11"/>
    </row>
    <row r="37" spans="1:13" x14ac:dyDescent="0.15">
      <c r="B37" s="11" t="s">
        <v>58</v>
      </c>
      <c r="C37" s="11"/>
      <c r="D37" s="11"/>
      <c r="E37" s="11"/>
      <c r="F37" s="11"/>
      <c r="H37" s="43" t="s">
        <v>142</v>
      </c>
      <c r="I37" s="43"/>
      <c r="J37" s="43"/>
      <c r="K37" s="43"/>
      <c r="L37" s="43"/>
      <c r="M37" s="43"/>
    </row>
    <row r="39" spans="1:13" ht="18" x14ac:dyDescent="0.2">
      <c r="B39" s="54" t="s">
        <v>146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spans="1:13" x14ac:dyDescent="0.15">
      <c r="B40" s="55" t="s">
        <v>60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</row>
    <row r="42" spans="1:13" s="42" customFormat="1" x14ac:dyDescent="0.15">
      <c r="A42"/>
      <c r="B42" s="41">
        <v>41864</v>
      </c>
    </row>
    <row r="43" spans="1:13" x14ac:dyDescent="0.15">
      <c r="A43" s="42"/>
    </row>
  </sheetData>
  <sheetProtection password="CCED" sheet="1" objects="1" scenarios="1" selectLockedCells="1"/>
  <mergeCells count="4">
    <mergeCell ref="B19:M19"/>
    <mergeCell ref="B39:M39"/>
    <mergeCell ref="B40:M40"/>
    <mergeCell ref="B20:M20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2"/>
  </sheetPr>
  <dimension ref="A1:Q49"/>
  <sheetViews>
    <sheetView showGridLines="0" showRowColHeaders="0" tabSelected="1" showOutlineSymbols="0" zoomScale="234" workbookViewId="0">
      <selection activeCell="E8" sqref="E8"/>
    </sheetView>
  </sheetViews>
  <sheetFormatPr baseColWidth="10" defaultColWidth="8.83203125" defaultRowHeight="13" x14ac:dyDescent="0.15"/>
  <cols>
    <col min="1" max="1" width="11.5" customWidth="1"/>
    <col min="2" max="3" width="15.83203125" customWidth="1"/>
    <col min="4" max="4" width="10.1640625" customWidth="1"/>
    <col min="5" max="5" width="11.6640625" customWidth="1"/>
    <col min="6" max="6" width="8.1640625" customWidth="1"/>
    <col min="7" max="7" width="8.6640625" customWidth="1"/>
    <col min="8" max="15" width="8.6640625" hidden="1" customWidth="1"/>
    <col min="16" max="16" width="12.5" hidden="1" customWidth="1"/>
    <col min="17" max="17" width="8.6640625" hidden="1" customWidth="1"/>
    <col min="18" max="18" width="8.6640625" customWidth="1"/>
    <col min="19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12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56" t="s">
        <v>1</v>
      </c>
      <c r="E4" s="57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7" t="s">
        <v>32</v>
      </c>
      <c r="E5" s="38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6" t="s">
        <v>8</v>
      </c>
      <c r="C6" s="18"/>
      <c r="D6" s="26"/>
      <c r="E6" s="21"/>
      <c r="F6" s="14">
        <f>IF(P6&lt;0,0,IF(E6=0,0,ROUNDDOWN(P6,0)))</f>
        <v>0</v>
      </c>
      <c r="H6" s="5">
        <v>7.2</v>
      </c>
      <c r="I6" s="5">
        <v>2.7</v>
      </c>
      <c r="J6" s="5"/>
      <c r="M6">
        <f t="shared" ref="M6:M11" si="0">E6*100</f>
        <v>0</v>
      </c>
      <c r="N6">
        <f t="shared" ref="N6:N11" si="1">H6*100</f>
        <v>720</v>
      </c>
      <c r="O6">
        <f t="shared" ref="O6:O12" si="2">N6-M6</f>
        <v>720</v>
      </c>
      <c r="P6" s="6">
        <f t="shared" ref="P6:P12" si="3">1000+O6*I6</f>
        <v>2944</v>
      </c>
    </row>
    <row r="7" spans="1:17" x14ac:dyDescent="0.15">
      <c r="B7" s="16" t="s">
        <v>69</v>
      </c>
      <c r="C7" s="19"/>
      <c r="D7" s="27"/>
      <c r="E7" s="21"/>
      <c r="F7" s="14">
        <f>IF(P7&lt;0,0,IF(E7=0,0,ROUNDDOWN(P7,0)))</f>
        <v>0</v>
      </c>
      <c r="H7" s="5">
        <v>9.3000000000000007</v>
      </c>
      <c r="I7" s="5">
        <v>2.2000000000000002</v>
      </c>
      <c r="J7" s="5"/>
      <c r="M7">
        <f t="shared" si="0"/>
        <v>0</v>
      </c>
      <c r="N7">
        <f t="shared" si="1"/>
        <v>930.00000000000011</v>
      </c>
      <c r="O7">
        <f t="shared" si="2"/>
        <v>930.00000000000011</v>
      </c>
      <c r="P7" s="6">
        <f t="shared" si="3"/>
        <v>3046.0000000000005</v>
      </c>
    </row>
    <row r="8" spans="1:17" x14ac:dyDescent="0.15">
      <c r="B8" s="16" t="s">
        <v>13</v>
      </c>
      <c r="C8" s="19"/>
      <c r="D8" s="27"/>
      <c r="E8" s="21">
        <v>11.3</v>
      </c>
      <c r="F8" s="14">
        <f t="shared" ref="F8:F43" si="4">IF(P8&lt;0,0,IF(E8=0,0,ROUNDDOWN(P8,0)))</f>
        <v>991</v>
      </c>
      <c r="H8" s="5">
        <v>11.25</v>
      </c>
      <c r="I8" s="5">
        <v>1.7</v>
      </c>
      <c r="J8" s="5"/>
      <c r="M8">
        <f t="shared" si="0"/>
        <v>1130</v>
      </c>
      <c r="N8">
        <f t="shared" si="1"/>
        <v>1125</v>
      </c>
      <c r="O8">
        <f t="shared" si="2"/>
        <v>-5</v>
      </c>
      <c r="P8" s="6">
        <f t="shared" si="3"/>
        <v>991.5</v>
      </c>
    </row>
    <row r="9" spans="1:17" x14ac:dyDescent="0.15">
      <c r="B9" s="16" t="s">
        <v>14</v>
      </c>
      <c r="C9" s="19"/>
      <c r="D9" s="27"/>
      <c r="E9" s="21">
        <v>23</v>
      </c>
      <c r="F9" s="14">
        <f t="shared" si="4"/>
        <v>957</v>
      </c>
      <c r="H9" s="5">
        <v>22.5</v>
      </c>
      <c r="I9" s="5">
        <v>0.85</v>
      </c>
      <c r="J9" s="5"/>
      <c r="M9">
        <f t="shared" si="0"/>
        <v>2300</v>
      </c>
      <c r="N9">
        <f t="shared" si="1"/>
        <v>2250</v>
      </c>
      <c r="O9">
        <f t="shared" si="2"/>
        <v>-50</v>
      </c>
      <c r="P9" s="6">
        <f t="shared" si="3"/>
        <v>957.5</v>
      </c>
    </row>
    <row r="10" spans="1:17" x14ac:dyDescent="0.15">
      <c r="B10" s="16" t="s">
        <v>15</v>
      </c>
      <c r="C10" s="19"/>
      <c r="D10" s="27"/>
      <c r="E10" s="21"/>
      <c r="F10" s="14">
        <f t="shared" si="4"/>
        <v>0</v>
      </c>
      <c r="H10" s="5">
        <v>36.15</v>
      </c>
      <c r="I10" s="5">
        <v>0.6</v>
      </c>
      <c r="J10" s="5"/>
      <c r="M10">
        <f t="shared" si="0"/>
        <v>0</v>
      </c>
      <c r="N10">
        <f t="shared" si="1"/>
        <v>3615</v>
      </c>
      <c r="O10">
        <f t="shared" si="2"/>
        <v>3615</v>
      </c>
      <c r="P10" s="6">
        <f t="shared" si="3"/>
        <v>3169</v>
      </c>
    </row>
    <row r="11" spans="1:17" x14ac:dyDescent="0.15">
      <c r="B11" s="16" t="s">
        <v>16</v>
      </c>
      <c r="C11" s="19"/>
      <c r="D11" s="30"/>
      <c r="E11" s="21"/>
      <c r="F11" s="14">
        <f t="shared" si="4"/>
        <v>0</v>
      </c>
      <c r="H11" s="5">
        <v>50.4</v>
      </c>
      <c r="I11" s="5">
        <v>0.4</v>
      </c>
      <c r="J11" s="5"/>
      <c r="M11">
        <f t="shared" si="0"/>
        <v>0</v>
      </c>
      <c r="N11">
        <f t="shared" si="1"/>
        <v>5040</v>
      </c>
      <c r="O11">
        <f t="shared" si="2"/>
        <v>5040</v>
      </c>
      <c r="P11" s="6">
        <f t="shared" si="3"/>
        <v>3016</v>
      </c>
    </row>
    <row r="12" spans="1:17" x14ac:dyDescent="0.15">
      <c r="B12" s="15" t="s">
        <v>9</v>
      </c>
      <c r="C12" s="19"/>
      <c r="D12" s="23"/>
      <c r="E12" s="22"/>
      <c r="F12" s="14">
        <f t="shared" ref="F12:F18" si="5">IF(P12&lt;0,0,IF(AND(E12=0,D12=0),0,ROUNDDOWN(P12,0)))</f>
        <v>0</v>
      </c>
      <c r="H12" s="5">
        <v>82</v>
      </c>
      <c r="I12" s="5">
        <v>2.6</v>
      </c>
      <c r="J12" s="5"/>
      <c r="M12">
        <f>(D12*60+E12)*10</f>
        <v>0</v>
      </c>
      <c r="N12">
        <f>H12*10</f>
        <v>820</v>
      </c>
      <c r="O12">
        <f t="shared" si="2"/>
        <v>820</v>
      </c>
      <c r="P12" s="6">
        <f t="shared" si="3"/>
        <v>3132</v>
      </c>
    </row>
    <row r="13" spans="1:17" x14ac:dyDescent="0.15">
      <c r="B13" s="15" t="s">
        <v>20</v>
      </c>
      <c r="C13" s="19"/>
      <c r="D13" s="24"/>
      <c r="E13" s="22"/>
      <c r="F13" s="14">
        <f t="shared" si="5"/>
        <v>0</v>
      </c>
      <c r="H13" s="5">
        <v>114</v>
      </c>
      <c r="I13" s="5">
        <v>1.8</v>
      </c>
      <c r="J13" s="5"/>
      <c r="M13">
        <f t="shared" ref="M13:M19" si="6">(D13*60+E13)*10</f>
        <v>0</v>
      </c>
      <c r="N13">
        <f t="shared" ref="N13:N19" si="7">H13*10</f>
        <v>1140</v>
      </c>
      <c r="O13">
        <f t="shared" ref="O13:O19" si="8">N13-M13</f>
        <v>1140</v>
      </c>
      <c r="P13" s="6">
        <f t="shared" ref="P13:P19" si="9">1000+O13*I13</f>
        <v>3052</v>
      </c>
    </row>
    <row r="14" spans="1:17" x14ac:dyDescent="0.15">
      <c r="B14" s="15" t="s">
        <v>17</v>
      </c>
      <c r="C14" s="19"/>
      <c r="D14" s="24"/>
      <c r="E14" s="22"/>
      <c r="F14" s="14">
        <f t="shared" si="5"/>
        <v>0</v>
      </c>
      <c r="H14" s="5">
        <v>150</v>
      </c>
      <c r="I14" s="5">
        <v>1.1000000000000001</v>
      </c>
      <c r="J14" s="5"/>
      <c r="M14">
        <f t="shared" si="6"/>
        <v>0</v>
      </c>
      <c r="N14">
        <f t="shared" si="7"/>
        <v>1500</v>
      </c>
      <c r="O14">
        <f t="shared" si="8"/>
        <v>1500</v>
      </c>
      <c r="P14" s="6">
        <f t="shared" si="9"/>
        <v>2650</v>
      </c>
    </row>
    <row r="15" spans="1:17" x14ac:dyDescent="0.15">
      <c r="B15" s="15" t="s">
        <v>18</v>
      </c>
      <c r="C15" s="19"/>
      <c r="D15" s="24"/>
      <c r="E15" s="22"/>
      <c r="F15" s="14">
        <f t="shared" si="5"/>
        <v>0</v>
      </c>
      <c r="H15" s="5">
        <v>240</v>
      </c>
      <c r="I15" s="5">
        <v>0.7</v>
      </c>
      <c r="J15" s="5"/>
      <c r="M15">
        <f t="shared" si="6"/>
        <v>0</v>
      </c>
      <c r="N15">
        <f t="shared" si="7"/>
        <v>2400</v>
      </c>
      <c r="O15">
        <f t="shared" si="8"/>
        <v>2400</v>
      </c>
      <c r="P15" s="6">
        <f t="shared" si="9"/>
        <v>2680</v>
      </c>
    </row>
    <row r="16" spans="1:17" x14ac:dyDescent="0.15">
      <c r="B16" s="15" t="s">
        <v>19</v>
      </c>
      <c r="C16" s="19"/>
      <c r="D16" s="24"/>
      <c r="E16" s="22"/>
      <c r="F16" s="14">
        <f t="shared" si="5"/>
        <v>0</v>
      </c>
      <c r="H16" s="5">
        <v>338</v>
      </c>
      <c r="I16" s="5">
        <v>0.5</v>
      </c>
      <c r="J16" s="5"/>
      <c r="M16">
        <f t="shared" si="6"/>
        <v>0</v>
      </c>
      <c r="N16">
        <f t="shared" si="7"/>
        <v>3380</v>
      </c>
      <c r="O16">
        <f t="shared" si="8"/>
        <v>3380</v>
      </c>
      <c r="P16" s="6">
        <f t="shared" si="9"/>
        <v>2690</v>
      </c>
    </row>
    <row r="17" spans="2:16" x14ac:dyDescent="0.15">
      <c r="B17" s="15" t="s">
        <v>21</v>
      </c>
      <c r="C17" s="19"/>
      <c r="D17" s="24"/>
      <c r="E17" s="22"/>
      <c r="F17" s="14">
        <f t="shared" si="5"/>
        <v>0</v>
      </c>
      <c r="H17" s="5">
        <v>523</v>
      </c>
      <c r="I17" s="5">
        <v>0.27</v>
      </c>
      <c r="J17" s="5"/>
      <c r="M17">
        <f t="shared" si="6"/>
        <v>0</v>
      </c>
      <c r="N17">
        <f t="shared" si="7"/>
        <v>5230</v>
      </c>
      <c r="O17">
        <f t="shared" si="8"/>
        <v>5230</v>
      </c>
      <c r="P17" s="6">
        <f t="shared" si="9"/>
        <v>2412.1000000000004</v>
      </c>
    </row>
    <row r="18" spans="2:16" x14ac:dyDescent="0.15">
      <c r="B18" s="15" t="s">
        <v>22</v>
      </c>
      <c r="C18" s="19"/>
      <c r="D18" s="24"/>
      <c r="E18" s="22"/>
      <c r="F18" s="14">
        <f t="shared" si="5"/>
        <v>0</v>
      </c>
      <c r="H18" s="5">
        <v>910</v>
      </c>
      <c r="I18" s="5">
        <v>0.15</v>
      </c>
      <c r="J18" s="5"/>
      <c r="M18">
        <f t="shared" si="6"/>
        <v>0</v>
      </c>
      <c r="N18">
        <f t="shared" si="7"/>
        <v>9100</v>
      </c>
      <c r="O18">
        <f t="shared" si="8"/>
        <v>9100</v>
      </c>
      <c r="P18" s="6">
        <f t="shared" si="9"/>
        <v>2365</v>
      </c>
    </row>
    <row r="19" spans="2:16" x14ac:dyDescent="0.15">
      <c r="B19" s="15" t="s">
        <v>23</v>
      </c>
      <c r="C19" s="20"/>
      <c r="D19" s="25"/>
      <c r="E19" s="22"/>
      <c r="F19" s="14">
        <f>IF(P19&lt;0,0,IF(AND(E19=0,D19=0),0,ROUNDDOWN(P19,0)))</f>
        <v>0</v>
      </c>
      <c r="H19" s="5">
        <v>1950</v>
      </c>
      <c r="I19" s="5">
        <v>0.06</v>
      </c>
      <c r="J19" s="5"/>
      <c r="M19">
        <f t="shared" si="6"/>
        <v>0</v>
      </c>
      <c r="N19">
        <f t="shared" si="7"/>
        <v>19500</v>
      </c>
      <c r="O19">
        <f t="shared" si="8"/>
        <v>19500</v>
      </c>
      <c r="P19" s="6">
        <f t="shared" si="9"/>
        <v>2170</v>
      </c>
    </row>
    <row r="20" spans="2:16" x14ac:dyDescent="0.15">
      <c r="B20" s="16" t="s">
        <v>17</v>
      </c>
      <c r="C20" s="48" t="s">
        <v>137</v>
      </c>
      <c r="D20" s="25"/>
      <c r="E20" s="21"/>
      <c r="F20" s="14">
        <f t="shared" ref="F20:F25" si="10">IF(P20&lt;0,0,IF(AND(E20=0,D20=0),0,ROUNDDOWN(P20,0)))</f>
        <v>0</v>
      </c>
      <c r="H20" s="5">
        <v>240</v>
      </c>
      <c r="I20" s="5">
        <v>0.7</v>
      </c>
      <c r="J20" s="5"/>
      <c r="M20">
        <f t="shared" ref="M20:M25" si="11">(D20*60+E20)*10</f>
        <v>0</v>
      </c>
      <c r="N20">
        <f t="shared" ref="N20:N25" si="12">H20*10</f>
        <v>2400</v>
      </c>
      <c r="O20">
        <f t="shared" ref="O20:O25" si="13">N20-M20</f>
        <v>2400</v>
      </c>
      <c r="P20" s="6">
        <f t="shared" ref="P20:P25" si="14">1000+O20*I20</f>
        <v>2680</v>
      </c>
    </row>
    <row r="21" spans="2:16" x14ac:dyDescent="0.15">
      <c r="B21" s="16" t="s">
        <v>19</v>
      </c>
      <c r="C21" s="48" t="s">
        <v>137</v>
      </c>
      <c r="D21" s="25"/>
      <c r="E21" s="21"/>
      <c r="F21" s="14">
        <f t="shared" si="10"/>
        <v>0</v>
      </c>
      <c r="H21" s="5">
        <v>505</v>
      </c>
      <c r="I21" s="5">
        <v>0.3</v>
      </c>
      <c r="J21" s="5"/>
      <c r="M21">
        <f t="shared" si="11"/>
        <v>0</v>
      </c>
      <c r="N21">
        <f t="shared" si="12"/>
        <v>5050</v>
      </c>
      <c r="O21">
        <f t="shared" si="13"/>
        <v>5050</v>
      </c>
      <c r="P21" s="6">
        <f t="shared" si="14"/>
        <v>2515</v>
      </c>
    </row>
    <row r="22" spans="2:16" x14ac:dyDescent="0.15">
      <c r="B22" s="16" t="s">
        <v>21</v>
      </c>
      <c r="C22" s="48" t="s">
        <v>137</v>
      </c>
      <c r="D22" s="25"/>
      <c r="E22" s="21"/>
      <c r="F22" s="14">
        <f t="shared" si="10"/>
        <v>0</v>
      </c>
      <c r="H22" s="5">
        <v>788</v>
      </c>
      <c r="I22" s="5">
        <v>0.18</v>
      </c>
      <c r="J22" s="5"/>
      <c r="M22">
        <f t="shared" si="11"/>
        <v>0</v>
      </c>
      <c r="N22">
        <f t="shared" si="12"/>
        <v>7880</v>
      </c>
      <c r="O22">
        <f t="shared" si="13"/>
        <v>7880</v>
      </c>
      <c r="P22" s="6">
        <f t="shared" si="14"/>
        <v>2418.3999999999996</v>
      </c>
    </row>
    <row r="23" spans="2:16" x14ac:dyDescent="0.15">
      <c r="B23" s="16" t="s">
        <v>22</v>
      </c>
      <c r="C23" s="48" t="s">
        <v>137</v>
      </c>
      <c r="D23" s="25"/>
      <c r="E23" s="21"/>
      <c r="F23" s="14">
        <f t="shared" si="10"/>
        <v>0</v>
      </c>
      <c r="H23" s="5">
        <v>1350</v>
      </c>
      <c r="I23" s="5">
        <v>0.11</v>
      </c>
      <c r="J23" s="5"/>
      <c r="M23">
        <f t="shared" si="11"/>
        <v>0</v>
      </c>
      <c r="N23">
        <f t="shared" si="12"/>
        <v>13500</v>
      </c>
      <c r="O23">
        <f t="shared" si="13"/>
        <v>13500</v>
      </c>
      <c r="P23" s="6">
        <f t="shared" si="14"/>
        <v>2485</v>
      </c>
    </row>
    <row r="24" spans="2:16" x14ac:dyDescent="0.15">
      <c r="B24" s="16" t="s">
        <v>23</v>
      </c>
      <c r="C24" s="48" t="s">
        <v>137</v>
      </c>
      <c r="D24" s="25"/>
      <c r="E24" s="21"/>
      <c r="F24" s="14">
        <f t="shared" si="10"/>
        <v>0</v>
      </c>
      <c r="H24" s="5">
        <v>2850</v>
      </c>
      <c r="I24" s="5">
        <v>0.05</v>
      </c>
      <c r="J24" s="5"/>
      <c r="M24">
        <f t="shared" si="11"/>
        <v>0</v>
      </c>
      <c r="N24">
        <f t="shared" si="12"/>
        <v>28500</v>
      </c>
      <c r="O24">
        <f t="shared" si="13"/>
        <v>28500</v>
      </c>
      <c r="P24" s="6">
        <f t="shared" si="14"/>
        <v>2425</v>
      </c>
    </row>
    <row r="25" spans="2:16" x14ac:dyDescent="0.15">
      <c r="B25" s="16" t="s">
        <v>138</v>
      </c>
      <c r="C25" s="48" t="s">
        <v>137</v>
      </c>
      <c r="D25" s="25"/>
      <c r="E25" s="21"/>
      <c r="F25" s="14">
        <f t="shared" si="10"/>
        <v>0</v>
      </c>
      <c r="H25" s="5">
        <v>5880</v>
      </c>
      <c r="I25" s="5">
        <v>0.02</v>
      </c>
      <c r="J25" s="5"/>
      <c r="M25">
        <f t="shared" si="11"/>
        <v>0</v>
      </c>
      <c r="N25">
        <f t="shared" si="12"/>
        <v>58800</v>
      </c>
      <c r="O25">
        <f t="shared" si="13"/>
        <v>58800</v>
      </c>
      <c r="P25" s="6">
        <f t="shared" si="14"/>
        <v>2176</v>
      </c>
    </row>
    <row r="26" spans="2:16" x14ac:dyDescent="0.15">
      <c r="B26" s="16" t="s">
        <v>120</v>
      </c>
      <c r="C26" s="31" t="s">
        <v>121</v>
      </c>
      <c r="D26" s="26"/>
      <c r="E26" s="21"/>
      <c r="F26" s="14">
        <f t="shared" si="4"/>
        <v>0</v>
      </c>
      <c r="H26" s="5">
        <v>15</v>
      </c>
      <c r="I26" s="5">
        <v>1</v>
      </c>
      <c r="J26" s="5"/>
      <c r="M26">
        <f>E26*100</f>
        <v>0</v>
      </c>
      <c r="N26">
        <f>H26*100</f>
        <v>1500</v>
      </c>
      <c r="O26">
        <f>N26-M26</f>
        <v>1500</v>
      </c>
      <c r="P26" s="6">
        <f>1000+O26*I26</f>
        <v>2500</v>
      </c>
    </row>
    <row r="27" spans="2:16" x14ac:dyDescent="0.15">
      <c r="B27" s="16" t="s">
        <v>120</v>
      </c>
      <c r="C27" s="31" t="s">
        <v>122</v>
      </c>
      <c r="D27" s="27"/>
      <c r="E27" s="21"/>
      <c r="F27" s="14">
        <f t="shared" si="4"/>
        <v>0</v>
      </c>
      <c r="H27" s="5">
        <v>15.4</v>
      </c>
      <c r="I27" s="5">
        <v>1</v>
      </c>
      <c r="J27" s="5"/>
      <c r="M27">
        <f>E27*100</f>
        <v>0</v>
      </c>
      <c r="N27">
        <f>H27*100</f>
        <v>1540</v>
      </c>
      <c r="O27">
        <f t="shared" ref="O27:O32" si="15">N27-M27</f>
        <v>1540</v>
      </c>
      <c r="P27" s="6">
        <f t="shared" ref="P27:P32" si="16">1000+O27*I27</f>
        <v>2540</v>
      </c>
    </row>
    <row r="28" spans="2:16" x14ac:dyDescent="0.15">
      <c r="B28" s="16" t="s">
        <v>81</v>
      </c>
      <c r="C28" s="31" t="s">
        <v>115</v>
      </c>
      <c r="D28" s="27"/>
      <c r="E28" s="21"/>
      <c r="F28" s="14">
        <f t="shared" si="4"/>
        <v>0</v>
      </c>
      <c r="H28" s="5">
        <v>26</v>
      </c>
      <c r="I28" s="5">
        <v>0.6</v>
      </c>
      <c r="J28" s="5"/>
      <c r="M28">
        <f>E28*100</f>
        <v>0</v>
      </c>
      <c r="N28">
        <f>H28*100</f>
        <v>2600</v>
      </c>
      <c r="O28">
        <f t="shared" si="15"/>
        <v>2600</v>
      </c>
      <c r="P28" s="6">
        <f t="shared" si="16"/>
        <v>2560</v>
      </c>
    </row>
    <row r="29" spans="2:16" x14ac:dyDescent="0.15">
      <c r="B29" s="16" t="s">
        <v>102</v>
      </c>
      <c r="C29" s="31" t="s">
        <v>123</v>
      </c>
      <c r="D29" s="27"/>
      <c r="E29" s="21"/>
      <c r="F29" s="14">
        <f t="shared" si="4"/>
        <v>0</v>
      </c>
      <c r="H29" s="5">
        <v>40</v>
      </c>
      <c r="I29" s="5">
        <v>0.46</v>
      </c>
      <c r="J29" s="5"/>
      <c r="M29">
        <f>E29*100</f>
        <v>0</v>
      </c>
      <c r="N29">
        <f>H29*100</f>
        <v>4000</v>
      </c>
      <c r="O29">
        <f t="shared" si="15"/>
        <v>4000</v>
      </c>
      <c r="P29" s="6">
        <f t="shared" si="16"/>
        <v>2840</v>
      </c>
    </row>
    <row r="30" spans="2:16" x14ac:dyDescent="0.15">
      <c r="B30" s="16" t="s">
        <v>117</v>
      </c>
      <c r="C30" s="31" t="s">
        <v>123</v>
      </c>
      <c r="D30" s="30"/>
      <c r="E30" s="21"/>
      <c r="F30" s="14">
        <f t="shared" si="4"/>
        <v>0</v>
      </c>
      <c r="H30" s="5">
        <v>55.5</v>
      </c>
      <c r="I30" s="5">
        <v>0.34</v>
      </c>
      <c r="J30" s="5"/>
      <c r="M30">
        <f>E30*100</f>
        <v>0</v>
      </c>
      <c r="N30">
        <f>H30*100</f>
        <v>5550</v>
      </c>
      <c r="O30">
        <f t="shared" si="15"/>
        <v>5550</v>
      </c>
      <c r="P30" s="6">
        <f t="shared" si="16"/>
        <v>2887</v>
      </c>
    </row>
    <row r="31" spans="2:16" x14ac:dyDescent="0.15">
      <c r="B31" s="16" t="s">
        <v>25</v>
      </c>
      <c r="C31" s="31" t="s">
        <v>107</v>
      </c>
      <c r="D31" s="24"/>
      <c r="E31" s="22"/>
      <c r="F31" s="14">
        <f>IF(P31&lt;0,0,IF(AND(E31=0,D31=0),0,ROUNDDOWN(P31,0)))</f>
        <v>0</v>
      </c>
      <c r="H31" s="5">
        <v>370</v>
      </c>
      <c r="I31" s="5">
        <v>0.41</v>
      </c>
      <c r="J31" s="5"/>
      <c r="M31">
        <f>(D31*60+E31)*10</f>
        <v>0</v>
      </c>
      <c r="N31">
        <f>H31*10</f>
        <v>3700</v>
      </c>
      <c r="O31">
        <f t="shared" si="15"/>
        <v>3700</v>
      </c>
      <c r="P31" s="6">
        <f t="shared" si="16"/>
        <v>2517</v>
      </c>
    </row>
    <row r="32" spans="2:16" x14ac:dyDescent="0.15">
      <c r="B32" s="16" t="s">
        <v>26</v>
      </c>
      <c r="C32" s="31" t="s">
        <v>107</v>
      </c>
      <c r="D32" s="24"/>
      <c r="E32" s="22"/>
      <c r="F32" s="14">
        <f>IF(P32&lt;0,0,IF(AND(E32=0,D32=0),0,ROUNDDOWN(P32,0)))</f>
        <v>0</v>
      </c>
      <c r="H32" s="5">
        <v>585</v>
      </c>
      <c r="I32" s="5">
        <v>0.27</v>
      </c>
      <c r="J32" s="5"/>
      <c r="M32">
        <f>(D32*60+E32)*10</f>
        <v>0</v>
      </c>
      <c r="N32">
        <f>H32*10</f>
        <v>5850</v>
      </c>
      <c r="O32">
        <f t="shared" si="15"/>
        <v>5850</v>
      </c>
      <c r="P32" s="6">
        <f t="shared" si="16"/>
        <v>2579.5</v>
      </c>
    </row>
    <row r="33" spans="2:17" ht="16" x14ac:dyDescent="0.2">
      <c r="B33" s="7"/>
      <c r="C33" s="7"/>
      <c r="D33" s="7"/>
      <c r="E33" s="35" t="s">
        <v>34</v>
      </c>
      <c r="F33" s="40"/>
      <c r="G33" s="4"/>
      <c r="H33" s="8"/>
      <c r="I33" s="8"/>
      <c r="J33" s="8"/>
      <c r="K33" s="4"/>
      <c r="L33" s="4"/>
      <c r="M33" s="4"/>
      <c r="N33" s="4"/>
      <c r="O33" s="4"/>
      <c r="P33" s="4"/>
      <c r="Q33" s="4"/>
    </row>
    <row r="34" spans="2:17" x14ac:dyDescent="0.15">
      <c r="B34" s="16" t="s">
        <v>10</v>
      </c>
      <c r="C34" s="18"/>
      <c r="D34" s="26"/>
      <c r="E34" s="21"/>
      <c r="F34" s="14">
        <f t="shared" si="4"/>
        <v>0</v>
      </c>
      <c r="H34" s="5">
        <v>1.99</v>
      </c>
      <c r="I34" s="5">
        <v>7</v>
      </c>
      <c r="J34" s="5"/>
      <c r="M34">
        <f t="shared" ref="M34:M43" si="17">E34*100</f>
        <v>0</v>
      </c>
      <c r="N34">
        <f t="shared" ref="N34:N43" si="18">H34*100</f>
        <v>199</v>
      </c>
      <c r="O34">
        <f t="shared" ref="O34:O43" si="19">N34-M34</f>
        <v>199</v>
      </c>
      <c r="P34" s="6">
        <f t="shared" ref="P34:P39" si="20">1000-O34*I34</f>
        <v>-393</v>
      </c>
    </row>
    <row r="35" spans="2:17" x14ac:dyDescent="0.15">
      <c r="B35" s="16" t="s">
        <v>27</v>
      </c>
      <c r="C35" s="19"/>
      <c r="D35" s="27"/>
      <c r="E35" s="21"/>
      <c r="F35" s="14">
        <f t="shared" si="4"/>
        <v>0</v>
      </c>
      <c r="H35" s="5">
        <v>1.61</v>
      </c>
      <c r="I35" s="5">
        <v>8.5</v>
      </c>
      <c r="J35" s="5"/>
      <c r="M35">
        <f t="shared" si="17"/>
        <v>0</v>
      </c>
      <c r="N35">
        <f t="shared" si="18"/>
        <v>161</v>
      </c>
      <c r="O35">
        <f t="shared" si="19"/>
        <v>161</v>
      </c>
      <c r="P35" s="6">
        <f t="shared" si="20"/>
        <v>-368.5</v>
      </c>
    </row>
    <row r="36" spans="2:17" x14ac:dyDescent="0.15">
      <c r="B36" s="16" t="s">
        <v>28</v>
      </c>
      <c r="C36" s="19"/>
      <c r="D36" s="27"/>
      <c r="E36" s="21"/>
      <c r="F36" s="14">
        <f t="shared" si="4"/>
        <v>0</v>
      </c>
      <c r="H36" s="5">
        <v>4.5</v>
      </c>
      <c r="I36" s="5">
        <f>IF(E36&lt;0.8*H36,L36,Q36)</f>
        <v>7</v>
      </c>
      <c r="J36" s="5">
        <v>1.7</v>
      </c>
      <c r="K36" s="5">
        <v>3.5</v>
      </c>
      <c r="L36" s="5">
        <v>7</v>
      </c>
      <c r="M36">
        <f t="shared" si="17"/>
        <v>0</v>
      </c>
      <c r="N36">
        <f t="shared" si="18"/>
        <v>450</v>
      </c>
      <c r="O36">
        <f t="shared" si="19"/>
        <v>450</v>
      </c>
      <c r="P36" s="6">
        <f>IF(E36&lt;0.8*H36,1000-((N36-0.8*N36)*K36+(O36-(N36-N36*0.8))*L36),1000-O36*I36)</f>
        <v>-1835</v>
      </c>
      <c r="Q36" s="5">
        <f>IF(E36&gt;H36,J36,K36)</f>
        <v>3.5</v>
      </c>
    </row>
    <row r="37" spans="2:17" x14ac:dyDescent="0.15">
      <c r="B37" s="16" t="s">
        <v>11</v>
      </c>
      <c r="C37" s="19"/>
      <c r="D37" s="27"/>
      <c r="E37" s="21"/>
      <c r="F37" s="14">
        <f t="shared" si="4"/>
        <v>0</v>
      </c>
      <c r="H37" s="5">
        <v>6.95</v>
      </c>
      <c r="I37" s="5">
        <v>2</v>
      </c>
      <c r="J37" s="5"/>
      <c r="M37">
        <f t="shared" si="17"/>
        <v>0</v>
      </c>
      <c r="N37">
        <f t="shared" si="18"/>
        <v>695</v>
      </c>
      <c r="O37">
        <f t="shared" si="19"/>
        <v>695</v>
      </c>
      <c r="P37" s="6">
        <f t="shared" si="20"/>
        <v>-390</v>
      </c>
    </row>
    <row r="38" spans="2:17" x14ac:dyDescent="0.15">
      <c r="B38" s="16" t="s">
        <v>29</v>
      </c>
      <c r="C38" s="19"/>
      <c r="D38" s="27"/>
      <c r="E38" s="21"/>
      <c r="F38" s="14">
        <f t="shared" si="4"/>
        <v>0</v>
      </c>
      <c r="H38" s="5">
        <v>3.15</v>
      </c>
      <c r="I38" s="5">
        <v>5</v>
      </c>
      <c r="J38" s="5"/>
      <c r="M38">
        <f t="shared" si="17"/>
        <v>0</v>
      </c>
      <c r="N38">
        <f t="shared" si="18"/>
        <v>315</v>
      </c>
      <c r="O38">
        <f t="shared" si="19"/>
        <v>315</v>
      </c>
      <c r="P38" s="6">
        <f t="shared" si="20"/>
        <v>-575</v>
      </c>
    </row>
    <row r="39" spans="2:17" x14ac:dyDescent="0.15">
      <c r="B39" s="16" t="s">
        <v>30</v>
      </c>
      <c r="C39" s="20"/>
      <c r="D39" s="27"/>
      <c r="E39" s="21"/>
      <c r="F39" s="14">
        <f t="shared" si="4"/>
        <v>0</v>
      </c>
      <c r="H39" s="5">
        <v>14.3</v>
      </c>
      <c r="I39" s="5">
        <v>1</v>
      </c>
      <c r="J39" s="5"/>
      <c r="M39">
        <f t="shared" si="17"/>
        <v>0</v>
      </c>
      <c r="N39">
        <f t="shared" si="18"/>
        <v>1430</v>
      </c>
      <c r="O39">
        <f t="shared" si="19"/>
        <v>1430</v>
      </c>
      <c r="P39" s="6">
        <f t="shared" si="20"/>
        <v>-430</v>
      </c>
    </row>
    <row r="40" spans="2:17" x14ac:dyDescent="0.15">
      <c r="B40" s="16" t="s">
        <v>86</v>
      </c>
      <c r="C40" s="31" t="s">
        <v>131</v>
      </c>
      <c r="D40" s="27"/>
      <c r="E40" s="21"/>
      <c r="F40" s="14">
        <f t="shared" si="4"/>
        <v>0</v>
      </c>
      <c r="H40" s="5">
        <v>15.2</v>
      </c>
      <c r="I40" s="5">
        <f>IF(E40&lt;0.8*H40,L40,Q40)</f>
        <v>1.2</v>
      </c>
      <c r="J40" s="5">
        <v>0.3</v>
      </c>
      <c r="K40" s="5">
        <v>0.6</v>
      </c>
      <c r="L40" s="5">
        <v>1.2</v>
      </c>
      <c r="M40">
        <f t="shared" si="17"/>
        <v>0</v>
      </c>
      <c r="N40">
        <f t="shared" si="18"/>
        <v>1520</v>
      </c>
      <c r="O40">
        <f t="shared" si="19"/>
        <v>1520</v>
      </c>
      <c r="P40" s="6">
        <f>IF(E40&lt;0.8*H40,1000-((N40-0.8*N40)*K40+(O40-(N40-N40*0.8))*L40),1000-O40*I40)</f>
        <v>-641.60000000000014</v>
      </c>
      <c r="Q40" s="5">
        <f>IF(E40&gt;H40,J40,K40)</f>
        <v>0.6</v>
      </c>
    </row>
    <row r="41" spans="2:17" x14ac:dyDescent="0.15">
      <c r="B41" s="16" t="s">
        <v>87</v>
      </c>
      <c r="C41" s="31" t="s">
        <v>130</v>
      </c>
      <c r="D41" s="27"/>
      <c r="E41" s="21"/>
      <c r="F41" s="14">
        <f t="shared" si="4"/>
        <v>0</v>
      </c>
      <c r="H41" s="5">
        <v>48</v>
      </c>
      <c r="I41" s="5">
        <f>IF(E41&lt;0.8*H41,L41,Q41)</f>
        <v>0.5</v>
      </c>
      <c r="J41" s="5">
        <v>0.13</v>
      </c>
      <c r="K41" s="5">
        <v>0.25</v>
      </c>
      <c r="L41" s="5">
        <v>0.5</v>
      </c>
      <c r="M41">
        <f t="shared" si="17"/>
        <v>0</v>
      </c>
      <c r="N41">
        <f>H41*100</f>
        <v>4800</v>
      </c>
      <c r="O41">
        <f t="shared" si="19"/>
        <v>4800</v>
      </c>
      <c r="P41" s="6">
        <f>IF(E41&lt;0.8*H41,1000-((N41-0.8*N41)*K41+(O41-(N41-N41*0.8))*L41),1000-O41*I41)</f>
        <v>-1160</v>
      </c>
      <c r="Q41" s="5">
        <f>IF(E41&gt;H41,J41,K41)</f>
        <v>0.25</v>
      </c>
    </row>
    <row r="42" spans="2:17" x14ac:dyDescent="0.15">
      <c r="B42" s="16" t="s">
        <v>88</v>
      </c>
      <c r="C42" s="31" t="s">
        <v>132</v>
      </c>
      <c r="D42" s="27"/>
      <c r="E42" s="21"/>
      <c r="F42" s="14">
        <f t="shared" si="4"/>
        <v>0</v>
      </c>
      <c r="H42" s="5">
        <v>62</v>
      </c>
      <c r="I42" s="5">
        <f>IF(E42&lt;0.8*H42,L42,Q42)</f>
        <v>0.4</v>
      </c>
      <c r="J42" s="5">
        <v>0.1</v>
      </c>
      <c r="K42" s="5">
        <v>0.2</v>
      </c>
      <c r="L42" s="5">
        <v>0.4</v>
      </c>
      <c r="M42">
        <f t="shared" si="17"/>
        <v>0</v>
      </c>
      <c r="N42">
        <f t="shared" si="18"/>
        <v>6200</v>
      </c>
      <c r="O42">
        <f t="shared" si="19"/>
        <v>6200</v>
      </c>
      <c r="P42" s="6">
        <f>IF(E42&lt;0.8*H42,1000-((N42-0.8*N42)*K42+(O42-(N42-N42*0.8))*L42),1000-O42*I42)</f>
        <v>-1232</v>
      </c>
      <c r="Q42" s="5">
        <f>IF(E42&gt;H42,J42,K42)</f>
        <v>0.2</v>
      </c>
    </row>
    <row r="43" spans="2:17" x14ac:dyDescent="0.15">
      <c r="B43" s="16" t="s">
        <v>89</v>
      </c>
      <c r="C43" s="31" t="s">
        <v>127</v>
      </c>
      <c r="D43" s="30"/>
      <c r="E43" s="21"/>
      <c r="F43" s="14">
        <f t="shared" si="4"/>
        <v>0</v>
      </c>
      <c r="H43" s="5">
        <v>62</v>
      </c>
      <c r="I43" s="5">
        <f>IF(E43&lt;0.8*H43,L43,Q43)</f>
        <v>0.4</v>
      </c>
      <c r="J43" s="5">
        <v>0.1</v>
      </c>
      <c r="K43" s="5">
        <v>0.2</v>
      </c>
      <c r="L43" s="5">
        <v>0.4</v>
      </c>
      <c r="M43">
        <f t="shared" si="17"/>
        <v>0</v>
      </c>
      <c r="N43">
        <f t="shared" si="18"/>
        <v>6200</v>
      </c>
      <c r="O43">
        <f t="shared" si="19"/>
        <v>6200</v>
      </c>
      <c r="P43" s="6">
        <f>IF(E43&lt;0.8*H43,1000-((N43-0.8*N43)*K43+(O43-(N43-N43*0.8))*L43),1000-O43*I43)</f>
        <v>-1232</v>
      </c>
      <c r="Q43" s="5">
        <f>IF(E43&gt;H43,J43,K43)</f>
        <v>0.2</v>
      </c>
    </row>
    <row r="45" spans="2:17" x14ac:dyDescent="0.15">
      <c r="B45" s="60" t="s">
        <v>47</v>
      </c>
      <c r="C45" s="60"/>
      <c r="D45" s="60"/>
      <c r="E45" s="60"/>
      <c r="F45" s="60"/>
    </row>
    <row r="46" spans="2:17" x14ac:dyDescent="0.15">
      <c r="B46" s="60" t="s">
        <v>36</v>
      </c>
      <c r="C46" s="60"/>
      <c r="D46" s="60"/>
      <c r="E46" s="60"/>
      <c r="F46" s="60"/>
    </row>
    <row r="47" spans="2:17" x14ac:dyDescent="0.15">
      <c r="B47" s="60" t="s">
        <v>35</v>
      </c>
      <c r="C47" s="60"/>
      <c r="D47" s="60"/>
      <c r="E47" s="60"/>
      <c r="F47" s="60"/>
    </row>
    <row r="49" spans="2:6" ht="16" x14ac:dyDescent="0.2">
      <c r="B49" s="58" t="s">
        <v>146</v>
      </c>
      <c r="C49" s="59"/>
      <c r="D49" s="59"/>
      <c r="E49" s="59"/>
      <c r="F49" s="59"/>
    </row>
  </sheetData>
  <sheetProtection password="CCED" sheet="1" selectLockedCells="1"/>
  <mergeCells count="6">
    <mergeCell ref="D4:E4"/>
    <mergeCell ref="B4:C4"/>
    <mergeCell ref="B49:F49"/>
    <mergeCell ref="B45:F45"/>
    <mergeCell ref="B46:F46"/>
    <mergeCell ref="B47:F47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Q48"/>
  <sheetViews>
    <sheetView showGridLines="0" showRowColHeaders="0" showOutlineSymbols="0" workbookViewId="0">
      <selection activeCell="E10" sqref="E10"/>
    </sheetView>
  </sheetViews>
  <sheetFormatPr baseColWidth="10" defaultColWidth="8.83203125" defaultRowHeight="13" x14ac:dyDescent="0.15"/>
  <cols>
    <col min="1" max="1" width="11.5" customWidth="1"/>
    <col min="2" max="2" width="15.1640625" customWidth="1"/>
    <col min="3" max="3" width="12.1640625" customWidth="1"/>
    <col min="4" max="4" width="10.1640625" customWidth="1"/>
    <col min="5" max="5" width="11.5" customWidth="1"/>
    <col min="6" max="6" width="8" customWidth="1"/>
    <col min="7" max="7" width="6.33203125" customWidth="1"/>
    <col min="8" max="8" width="10.1640625" hidden="1" customWidth="1"/>
    <col min="9" max="9" width="8" hidden="1" customWidth="1"/>
    <col min="10" max="10" width="9.83203125" hidden="1" customWidth="1"/>
    <col min="11" max="12" width="8.83203125" hidden="1" customWidth="1"/>
    <col min="13" max="13" width="7.83203125" hidden="1" customWidth="1"/>
    <col min="14" max="14" width="8" hidden="1" customWidth="1"/>
    <col min="15" max="15" width="7" hidden="1" customWidth="1"/>
    <col min="16" max="16" width="13" hidden="1" customWidth="1"/>
    <col min="17" max="17" width="6.66406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61" t="s">
        <v>1</v>
      </c>
      <c r="E4" s="61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9" t="s">
        <v>32</v>
      </c>
      <c r="E5" s="39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5" t="s">
        <v>8</v>
      </c>
      <c r="C6" s="18"/>
      <c r="D6" s="26"/>
      <c r="E6" s="22"/>
      <c r="F6" s="14">
        <f>IF(P6&lt;0,0,IF(E6=0,0,ROUNDDOWN(P6,0)))</f>
        <v>0</v>
      </c>
      <c r="H6" s="5">
        <v>7.9</v>
      </c>
      <c r="I6" s="5">
        <v>2.7</v>
      </c>
      <c r="J6" s="5"/>
      <c r="M6">
        <f t="shared" ref="M6:M11" si="0">E6*100</f>
        <v>0</v>
      </c>
      <c r="N6">
        <f t="shared" ref="N6:N11" si="1">H6*100</f>
        <v>790</v>
      </c>
      <c r="O6">
        <f t="shared" ref="O6:O12" si="2">N6-M6</f>
        <v>790</v>
      </c>
      <c r="P6" s="6">
        <f t="shared" ref="P6:P12" si="3">1000+O6*I6</f>
        <v>3133</v>
      </c>
    </row>
    <row r="7" spans="1:17" x14ac:dyDescent="0.15">
      <c r="B7" s="16" t="s">
        <v>69</v>
      </c>
      <c r="C7" s="19"/>
      <c r="D7" s="27"/>
      <c r="E7" s="21"/>
      <c r="F7" s="14">
        <f>IF(P7&lt;0,0,IF(E7=0,0,ROUNDDOWN(P7,0)))</f>
        <v>0</v>
      </c>
      <c r="H7" s="5">
        <v>10.1</v>
      </c>
      <c r="I7" s="5">
        <v>2.1</v>
      </c>
      <c r="J7" s="5"/>
      <c r="M7">
        <f t="shared" si="0"/>
        <v>0</v>
      </c>
      <c r="N7">
        <f t="shared" si="1"/>
        <v>1010</v>
      </c>
      <c r="O7">
        <f>N7-M7</f>
        <v>1010</v>
      </c>
      <c r="P7" s="6">
        <f>1000+O7*I7</f>
        <v>3121</v>
      </c>
    </row>
    <row r="8" spans="1:17" x14ac:dyDescent="0.15">
      <c r="B8" s="16" t="s">
        <v>13</v>
      </c>
      <c r="C8" s="19"/>
      <c r="D8" s="27"/>
      <c r="E8" s="21"/>
      <c r="F8" s="14">
        <f t="shared" ref="F8:F42" si="4">IF(P8&lt;0,0,IF(E8=0,0,ROUNDDOWN(P8,0)))</f>
        <v>0</v>
      </c>
      <c r="H8" s="5">
        <v>12.4</v>
      </c>
      <c r="I8" s="5">
        <v>1.6</v>
      </c>
      <c r="J8" s="5"/>
      <c r="M8">
        <f t="shared" si="0"/>
        <v>0</v>
      </c>
      <c r="N8">
        <f t="shared" si="1"/>
        <v>1240</v>
      </c>
      <c r="O8">
        <f t="shared" si="2"/>
        <v>1240</v>
      </c>
      <c r="P8" s="6">
        <f t="shared" si="3"/>
        <v>2984</v>
      </c>
    </row>
    <row r="9" spans="1:17" x14ac:dyDescent="0.15">
      <c r="B9" s="16" t="s">
        <v>14</v>
      </c>
      <c r="C9" s="19"/>
      <c r="D9" s="27"/>
      <c r="E9" s="21">
        <v>25.81</v>
      </c>
      <c r="F9" s="14">
        <f t="shared" si="4"/>
        <v>979</v>
      </c>
      <c r="H9" s="5">
        <v>25.55</v>
      </c>
      <c r="I9" s="5">
        <v>0.78</v>
      </c>
      <c r="J9" s="5"/>
      <c r="M9">
        <f t="shared" si="0"/>
        <v>2581</v>
      </c>
      <c r="N9">
        <f t="shared" si="1"/>
        <v>2555</v>
      </c>
      <c r="O9">
        <f t="shared" si="2"/>
        <v>-26</v>
      </c>
      <c r="P9" s="6">
        <f t="shared" si="3"/>
        <v>979.72</v>
      </c>
    </row>
    <row r="10" spans="1:17" x14ac:dyDescent="0.15">
      <c r="B10" s="16" t="s">
        <v>15</v>
      </c>
      <c r="C10" s="19"/>
      <c r="D10" s="27"/>
      <c r="E10" s="21"/>
      <c r="F10" s="14">
        <f t="shared" si="4"/>
        <v>0</v>
      </c>
      <c r="H10" s="5">
        <v>40.5</v>
      </c>
      <c r="I10" s="5">
        <v>0.5</v>
      </c>
      <c r="J10" s="5"/>
      <c r="M10">
        <f t="shared" si="0"/>
        <v>0</v>
      </c>
      <c r="N10">
        <f t="shared" si="1"/>
        <v>4050</v>
      </c>
      <c r="O10">
        <f t="shared" si="2"/>
        <v>4050</v>
      </c>
      <c r="P10" s="6">
        <f t="shared" si="3"/>
        <v>3025</v>
      </c>
    </row>
    <row r="11" spans="1:17" x14ac:dyDescent="0.15">
      <c r="B11" s="15" t="s">
        <v>16</v>
      </c>
      <c r="C11" s="19"/>
      <c r="D11" s="30"/>
      <c r="E11" s="22"/>
      <c r="F11" s="14">
        <f t="shared" si="4"/>
        <v>0</v>
      </c>
      <c r="H11" s="5">
        <v>57</v>
      </c>
      <c r="I11" s="5">
        <v>0.38</v>
      </c>
      <c r="J11" s="5"/>
      <c r="M11">
        <f t="shared" si="0"/>
        <v>0</v>
      </c>
      <c r="N11">
        <f t="shared" si="1"/>
        <v>5700</v>
      </c>
      <c r="O11">
        <f t="shared" si="2"/>
        <v>5700</v>
      </c>
      <c r="P11" s="6">
        <f t="shared" si="3"/>
        <v>3166</v>
      </c>
    </row>
    <row r="12" spans="1:17" x14ac:dyDescent="0.15">
      <c r="B12" s="15" t="s">
        <v>9</v>
      </c>
      <c r="C12" s="19"/>
      <c r="D12" s="24"/>
      <c r="E12" s="22"/>
      <c r="F12" s="14">
        <f t="shared" ref="F12:F25" si="5">IF(P12&lt;0,0,IF(AND(E12=0,D12=0),0,ROUNDDOWN(P12,0)))</f>
        <v>0</v>
      </c>
      <c r="H12" s="5">
        <v>94</v>
      </c>
      <c r="I12" s="5">
        <v>2.4</v>
      </c>
      <c r="J12" s="5"/>
      <c r="M12">
        <f>(D12*60+E12)*10</f>
        <v>0</v>
      </c>
      <c r="N12">
        <f>H12*10</f>
        <v>940</v>
      </c>
      <c r="O12">
        <f t="shared" si="2"/>
        <v>940</v>
      </c>
      <c r="P12" s="6">
        <f t="shared" si="3"/>
        <v>3256</v>
      </c>
    </row>
    <row r="13" spans="1:17" x14ac:dyDescent="0.15">
      <c r="B13" s="15" t="s">
        <v>20</v>
      </c>
      <c r="C13" s="19"/>
      <c r="D13" s="24"/>
      <c r="E13" s="22"/>
      <c r="F13" s="14">
        <f t="shared" si="5"/>
        <v>0</v>
      </c>
      <c r="H13" s="5">
        <v>132.5</v>
      </c>
      <c r="I13" s="5">
        <v>1.5</v>
      </c>
      <c r="J13" s="5"/>
      <c r="M13">
        <f t="shared" ref="M13:M19" si="6">(D13*60+E13)*10</f>
        <v>0</v>
      </c>
      <c r="N13">
        <f t="shared" ref="N13:N19" si="7">H13*10</f>
        <v>1325</v>
      </c>
      <c r="O13">
        <f t="shared" ref="O13:O19" si="8">N13-M13</f>
        <v>1325</v>
      </c>
      <c r="P13" s="6">
        <f t="shared" ref="P13:P19" si="9">1000+O13*I13</f>
        <v>2987.5</v>
      </c>
    </row>
    <row r="14" spans="1:17" x14ac:dyDescent="0.15">
      <c r="B14" s="15" t="s">
        <v>17</v>
      </c>
      <c r="C14" s="19"/>
      <c r="D14" s="24"/>
      <c r="E14" s="22"/>
      <c r="F14" s="14">
        <f t="shared" si="5"/>
        <v>0</v>
      </c>
      <c r="H14" s="5">
        <v>179</v>
      </c>
      <c r="I14" s="5">
        <v>1</v>
      </c>
      <c r="J14" s="5"/>
      <c r="M14">
        <f t="shared" si="6"/>
        <v>0</v>
      </c>
      <c r="N14">
        <f t="shared" si="7"/>
        <v>1790</v>
      </c>
      <c r="O14">
        <f t="shared" si="8"/>
        <v>1790</v>
      </c>
      <c r="P14" s="6">
        <f t="shared" si="9"/>
        <v>2790</v>
      </c>
    </row>
    <row r="15" spans="1:17" x14ac:dyDescent="0.15">
      <c r="B15" s="15" t="s">
        <v>18</v>
      </c>
      <c r="C15" s="19"/>
      <c r="D15" s="24"/>
      <c r="E15" s="22"/>
      <c r="F15" s="14">
        <f t="shared" si="5"/>
        <v>0</v>
      </c>
      <c r="H15" s="5">
        <v>275</v>
      </c>
      <c r="I15" s="5">
        <v>0.6</v>
      </c>
      <c r="J15" s="5"/>
      <c r="M15">
        <f t="shared" si="6"/>
        <v>0</v>
      </c>
      <c r="N15">
        <f t="shared" si="7"/>
        <v>2750</v>
      </c>
      <c r="O15">
        <f t="shared" si="8"/>
        <v>2750</v>
      </c>
      <c r="P15" s="6">
        <f t="shared" si="9"/>
        <v>2650</v>
      </c>
    </row>
    <row r="16" spans="1:17" x14ac:dyDescent="0.15">
      <c r="B16" s="15" t="s">
        <v>19</v>
      </c>
      <c r="C16" s="19"/>
      <c r="D16" s="24"/>
      <c r="E16" s="22"/>
      <c r="F16" s="14">
        <f t="shared" si="5"/>
        <v>0</v>
      </c>
      <c r="H16" s="5">
        <v>385</v>
      </c>
      <c r="I16" s="5">
        <v>0.4</v>
      </c>
      <c r="J16" s="5"/>
      <c r="M16">
        <f t="shared" si="6"/>
        <v>0</v>
      </c>
      <c r="N16">
        <f t="shared" si="7"/>
        <v>3850</v>
      </c>
      <c r="O16">
        <f t="shared" si="8"/>
        <v>3850</v>
      </c>
      <c r="P16" s="6">
        <f t="shared" si="9"/>
        <v>2540</v>
      </c>
    </row>
    <row r="17" spans="2:17" x14ac:dyDescent="0.15">
      <c r="B17" s="15" t="s">
        <v>21</v>
      </c>
      <c r="C17" s="19"/>
      <c r="D17" s="24"/>
      <c r="E17" s="22"/>
      <c r="F17" s="14">
        <f t="shared" si="5"/>
        <v>0</v>
      </c>
      <c r="H17" s="5">
        <v>600</v>
      </c>
      <c r="I17" s="5">
        <v>0.23</v>
      </c>
      <c r="J17" s="5"/>
      <c r="M17">
        <f t="shared" si="6"/>
        <v>0</v>
      </c>
      <c r="N17">
        <f t="shared" si="7"/>
        <v>6000</v>
      </c>
      <c r="O17">
        <f t="shared" si="8"/>
        <v>6000</v>
      </c>
      <c r="P17" s="6">
        <f t="shared" si="9"/>
        <v>2380</v>
      </c>
    </row>
    <row r="18" spans="2:17" x14ac:dyDescent="0.15">
      <c r="B18" s="15" t="s">
        <v>22</v>
      </c>
      <c r="C18" s="19"/>
      <c r="D18" s="24"/>
      <c r="E18" s="22"/>
      <c r="F18" s="14">
        <f t="shared" si="5"/>
        <v>0</v>
      </c>
      <c r="H18" s="5">
        <v>1055</v>
      </c>
      <c r="I18" s="5">
        <v>0.13</v>
      </c>
      <c r="J18" s="5"/>
      <c r="M18">
        <f t="shared" si="6"/>
        <v>0</v>
      </c>
      <c r="N18">
        <f t="shared" si="7"/>
        <v>10550</v>
      </c>
      <c r="O18">
        <f t="shared" si="8"/>
        <v>10550</v>
      </c>
      <c r="P18" s="6">
        <f t="shared" si="9"/>
        <v>2371.5</v>
      </c>
    </row>
    <row r="19" spans="2:17" x14ac:dyDescent="0.15">
      <c r="B19" s="15" t="s">
        <v>23</v>
      </c>
      <c r="C19" s="20"/>
      <c r="D19" s="25"/>
      <c r="E19" s="22"/>
      <c r="F19" s="14">
        <f t="shared" si="5"/>
        <v>0</v>
      </c>
      <c r="H19" s="5">
        <v>2280</v>
      </c>
      <c r="I19" s="5">
        <v>0.06</v>
      </c>
      <c r="J19" s="5"/>
      <c r="M19">
        <f t="shared" si="6"/>
        <v>0</v>
      </c>
      <c r="N19">
        <f t="shared" si="7"/>
        <v>22800</v>
      </c>
      <c r="O19">
        <f t="shared" si="8"/>
        <v>22800</v>
      </c>
      <c r="P19" s="6">
        <f t="shared" si="9"/>
        <v>2368</v>
      </c>
    </row>
    <row r="20" spans="2:17" x14ac:dyDescent="0.15">
      <c r="B20" s="16" t="s">
        <v>17</v>
      </c>
      <c r="C20" s="48" t="s">
        <v>137</v>
      </c>
      <c r="D20" s="25"/>
      <c r="E20" s="21"/>
      <c r="F20" s="14">
        <f t="shared" si="5"/>
        <v>0</v>
      </c>
      <c r="H20" s="5">
        <v>266</v>
      </c>
      <c r="I20" s="5">
        <v>0.7</v>
      </c>
      <c r="J20" s="5"/>
      <c r="M20">
        <f t="shared" ref="M20:M25" si="10">(D20*60+E20)*10</f>
        <v>0</v>
      </c>
      <c r="N20">
        <f t="shared" ref="N20:N25" si="11">H20*10</f>
        <v>2660</v>
      </c>
      <c r="O20">
        <f t="shared" ref="O20:O25" si="12">N20-M20</f>
        <v>2660</v>
      </c>
      <c r="P20" s="6">
        <f t="shared" ref="P20:P25" si="13">1000+O20*I20</f>
        <v>2862</v>
      </c>
    </row>
    <row r="21" spans="2:17" x14ac:dyDescent="0.15">
      <c r="B21" s="16" t="s">
        <v>19</v>
      </c>
      <c r="C21" s="48" t="s">
        <v>137</v>
      </c>
      <c r="D21" s="25"/>
      <c r="E21" s="21"/>
      <c r="F21" s="14">
        <f t="shared" si="5"/>
        <v>0</v>
      </c>
      <c r="H21" s="5">
        <v>570</v>
      </c>
      <c r="I21" s="5">
        <v>0.3</v>
      </c>
      <c r="J21" s="5"/>
      <c r="M21">
        <f t="shared" si="10"/>
        <v>0</v>
      </c>
      <c r="N21">
        <f t="shared" si="11"/>
        <v>5700</v>
      </c>
      <c r="O21">
        <f t="shared" si="12"/>
        <v>5700</v>
      </c>
      <c r="P21" s="6">
        <f t="shared" si="13"/>
        <v>2710</v>
      </c>
    </row>
    <row r="22" spans="2:17" x14ac:dyDescent="0.15">
      <c r="B22" s="16" t="s">
        <v>21</v>
      </c>
      <c r="C22" s="48" t="s">
        <v>137</v>
      </c>
      <c r="D22" s="25"/>
      <c r="E22" s="21"/>
      <c r="F22" s="14">
        <f t="shared" si="5"/>
        <v>0</v>
      </c>
      <c r="H22" s="5">
        <v>895</v>
      </c>
      <c r="I22" s="5">
        <v>0.18</v>
      </c>
      <c r="J22" s="5"/>
      <c r="M22">
        <f t="shared" si="10"/>
        <v>0</v>
      </c>
      <c r="N22">
        <f t="shared" si="11"/>
        <v>8950</v>
      </c>
      <c r="O22">
        <f t="shared" si="12"/>
        <v>8950</v>
      </c>
      <c r="P22" s="6">
        <f t="shared" si="13"/>
        <v>2611</v>
      </c>
    </row>
    <row r="23" spans="2:17" x14ac:dyDescent="0.15">
      <c r="B23" s="16" t="s">
        <v>22</v>
      </c>
      <c r="C23" s="48" t="s">
        <v>137</v>
      </c>
      <c r="D23" s="25"/>
      <c r="E23" s="21"/>
      <c r="F23" s="14">
        <f t="shared" si="5"/>
        <v>0</v>
      </c>
      <c r="H23" s="5">
        <v>1524</v>
      </c>
      <c r="I23" s="5">
        <v>0.1</v>
      </c>
      <c r="J23" s="5"/>
      <c r="M23">
        <f t="shared" si="10"/>
        <v>0</v>
      </c>
      <c r="N23">
        <f t="shared" si="11"/>
        <v>15240</v>
      </c>
      <c r="O23">
        <f t="shared" si="12"/>
        <v>15240</v>
      </c>
      <c r="P23" s="6">
        <f t="shared" si="13"/>
        <v>2524</v>
      </c>
    </row>
    <row r="24" spans="2:17" x14ac:dyDescent="0.15">
      <c r="B24" s="16" t="s">
        <v>23</v>
      </c>
      <c r="C24" s="48" t="s">
        <v>137</v>
      </c>
      <c r="D24" s="25"/>
      <c r="E24" s="21"/>
      <c r="F24" s="14">
        <f t="shared" si="5"/>
        <v>0</v>
      </c>
      <c r="H24" s="5">
        <v>3300</v>
      </c>
      <c r="I24" s="5">
        <v>0.05</v>
      </c>
      <c r="J24" s="5"/>
      <c r="M24">
        <f t="shared" si="10"/>
        <v>0</v>
      </c>
      <c r="N24">
        <f t="shared" si="11"/>
        <v>33000</v>
      </c>
      <c r="O24">
        <f t="shared" si="12"/>
        <v>33000</v>
      </c>
      <c r="P24" s="6">
        <f t="shared" si="13"/>
        <v>2650</v>
      </c>
    </row>
    <row r="25" spans="2:17" x14ac:dyDescent="0.15">
      <c r="B25" s="16" t="s">
        <v>138</v>
      </c>
      <c r="C25" s="48" t="s">
        <v>137</v>
      </c>
      <c r="D25" s="25"/>
      <c r="E25" s="21"/>
      <c r="F25" s="14">
        <f t="shared" si="5"/>
        <v>0</v>
      </c>
      <c r="H25" s="5">
        <v>6720</v>
      </c>
      <c r="I25" s="5">
        <v>0.02</v>
      </c>
      <c r="J25" s="5"/>
      <c r="M25">
        <f t="shared" si="10"/>
        <v>0</v>
      </c>
      <c r="N25">
        <f t="shared" si="11"/>
        <v>67200</v>
      </c>
      <c r="O25">
        <f t="shared" si="12"/>
        <v>67200</v>
      </c>
      <c r="P25" s="6">
        <f t="shared" si="13"/>
        <v>2344</v>
      </c>
    </row>
    <row r="26" spans="2:17" x14ac:dyDescent="0.15">
      <c r="B26" s="16" t="s">
        <v>113</v>
      </c>
      <c r="C26" s="31" t="s">
        <v>119</v>
      </c>
      <c r="D26" s="26"/>
      <c r="E26" s="21"/>
      <c r="F26" s="14">
        <f t="shared" si="4"/>
        <v>0</v>
      </c>
      <c r="H26" s="5">
        <v>14.7</v>
      </c>
      <c r="I26" s="5">
        <v>1</v>
      </c>
      <c r="J26" s="5"/>
      <c r="M26">
        <f>E26*100</f>
        <v>0</v>
      </c>
      <c r="N26">
        <f>H26*100</f>
        <v>1470</v>
      </c>
      <c r="O26">
        <f t="shared" ref="O26:O31" si="14">N26-M26</f>
        <v>1470</v>
      </c>
      <c r="P26" s="6">
        <f t="shared" ref="P26:P31" si="15">1000+O26*I26</f>
        <v>2470</v>
      </c>
    </row>
    <row r="27" spans="2:17" x14ac:dyDescent="0.15">
      <c r="B27" s="16" t="s">
        <v>81</v>
      </c>
      <c r="C27" s="31" t="s">
        <v>98</v>
      </c>
      <c r="D27" s="27"/>
      <c r="E27" s="21"/>
      <c r="F27" s="14">
        <f t="shared" si="4"/>
        <v>0</v>
      </c>
      <c r="H27" s="5">
        <v>29.5</v>
      </c>
      <c r="I27" s="5">
        <v>0.5</v>
      </c>
      <c r="J27" s="5"/>
      <c r="M27">
        <f>E27*100</f>
        <v>0</v>
      </c>
      <c r="N27">
        <f>H27*100</f>
        <v>2950</v>
      </c>
      <c r="O27">
        <f t="shared" si="14"/>
        <v>2950</v>
      </c>
      <c r="P27" s="6">
        <f t="shared" si="15"/>
        <v>2475</v>
      </c>
    </row>
    <row r="28" spans="2:17" x14ac:dyDescent="0.15">
      <c r="B28" s="16" t="s">
        <v>102</v>
      </c>
      <c r="C28" s="31" t="s">
        <v>103</v>
      </c>
      <c r="D28" s="27"/>
      <c r="E28" s="21"/>
      <c r="F28" s="14">
        <f t="shared" si="4"/>
        <v>0</v>
      </c>
      <c r="H28" s="5">
        <v>45.2</v>
      </c>
      <c r="I28" s="5">
        <v>0.4</v>
      </c>
      <c r="J28" s="5"/>
      <c r="M28">
        <f>E28*100</f>
        <v>0</v>
      </c>
      <c r="N28">
        <f>H28*100</f>
        <v>4520</v>
      </c>
      <c r="O28">
        <f t="shared" si="14"/>
        <v>4520</v>
      </c>
      <c r="P28" s="6">
        <f t="shared" si="15"/>
        <v>2808</v>
      </c>
    </row>
    <row r="29" spans="2:17" x14ac:dyDescent="0.15">
      <c r="B29" s="16" t="s">
        <v>117</v>
      </c>
      <c r="C29" s="31" t="s">
        <v>103</v>
      </c>
      <c r="D29" s="30"/>
      <c r="E29" s="21"/>
      <c r="F29" s="14">
        <f t="shared" si="4"/>
        <v>0</v>
      </c>
      <c r="H29" s="5">
        <v>62.5</v>
      </c>
      <c r="I29" s="5">
        <v>0.3</v>
      </c>
      <c r="J29" s="5"/>
      <c r="M29">
        <f>E29*100</f>
        <v>0</v>
      </c>
      <c r="N29">
        <f>H29*100</f>
        <v>6250</v>
      </c>
      <c r="O29">
        <f t="shared" si="14"/>
        <v>6250</v>
      </c>
      <c r="P29" s="6">
        <f t="shared" si="15"/>
        <v>2875</v>
      </c>
    </row>
    <row r="30" spans="2:17" x14ac:dyDescent="0.15">
      <c r="B30" s="16" t="s">
        <v>25</v>
      </c>
      <c r="C30" s="31" t="s">
        <v>112</v>
      </c>
      <c r="D30" s="24"/>
      <c r="E30" s="22"/>
      <c r="F30" s="14">
        <f>IF(P30&lt;0,0,IF(AND(E30=0,D30=0),0,ROUNDDOWN(P30,0)))</f>
        <v>0</v>
      </c>
      <c r="H30" s="5">
        <v>410</v>
      </c>
      <c r="I30" s="5">
        <v>0.35</v>
      </c>
      <c r="J30" s="5"/>
      <c r="M30">
        <f>(D30*60+E30)*10</f>
        <v>0</v>
      </c>
      <c r="N30">
        <f>H30*10</f>
        <v>4100</v>
      </c>
      <c r="O30">
        <f t="shared" si="14"/>
        <v>4100</v>
      </c>
      <c r="P30" s="6">
        <f t="shared" si="15"/>
        <v>2435</v>
      </c>
    </row>
    <row r="31" spans="2:17" x14ac:dyDescent="0.15">
      <c r="B31" s="16" t="s">
        <v>26</v>
      </c>
      <c r="C31" s="31" t="s">
        <v>112</v>
      </c>
      <c r="D31" s="24"/>
      <c r="E31" s="22"/>
      <c r="F31" s="14">
        <f>IF(P31&lt;0,0,IF(AND(E31=0,D31=0),0,ROUNDDOWN(P31,0)))</f>
        <v>0</v>
      </c>
      <c r="H31" s="5">
        <v>650</v>
      </c>
      <c r="I31" s="5">
        <v>0.2</v>
      </c>
      <c r="J31" s="5"/>
      <c r="M31">
        <f>(D31*60+E31)*10</f>
        <v>0</v>
      </c>
      <c r="N31">
        <f>H31*10</f>
        <v>6500</v>
      </c>
      <c r="O31">
        <f t="shared" si="14"/>
        <v>6500</v>
      </c>
      <c r="P31" s="6">
        <f t="shared" si="15"/>
        <v>2300</v>
      </c>
    </row>
    <row r="32" spans="2:17" ht="16" x14ac:dyDescent="0.2">
      <c r="B32" s="7"/>
      <c r="C32" s="7"/>
      <c r="D32" s="7"/>
      <c r="E32" s="39" t="s">
        <v>34</v>
      </c>
      <c r="F32" s="40"/>
      <c r="G32" s="4"/>
      <c r="H32" s="8"/>
      <c r="I32" s="8"/>
      <c r="J32" s="8"/>
      <c r="K32" s="4"/>
      <c r="L32" s="4"/>
      <c r="M32" s="4"/>
      <c r="N32" s="4"/>
      <c r="O32" s="4"/>
      <c r="P32" s="4"/>
      <c r="Q32" s="4"/>
    </row>
    <row r="33" spans="2:17" x14ac:dyDescent="0.15">
      <c r="B33" s="16" t="s">
        <v>10</v>
      </c>
      <c r="C33" s="18"/>
      <c r="D33" s="26"/>
      <c r="E33" s="21"/>
      <c r="F33" s="14">
        <f t="shared" si="4"/>
        <v>0</v>
      </c>
      <c r="H33" s="5">
        <v>1.7</v>
      </c>
      <c r="I33" s="5">
        <v>7.5</v>
      </c>
      <c r="J33" s="5"/>
      <c r="M33">
        <f t="shared" ref="M33:M42" si="16">E33*100</f>
        <v>0</v>
      </c>
      <c r="N33">
        <f t="shared" ref="N33:N42" si="17">H33*100</f>
        <v>170</v>
      </c>
      <c r="O33">
        <f t="shared" ref="O33:O42" si="18">N33-M33</f>
        <v>170</v>
      </c>
      <c r="P33" s="6">
        <f t="shared" ref="P33:P38" si="19">1000-O33*I33</f>
        <v>-275</v>
      </c>
    </row>
    <row r="34" spans="2:17" x14ac:dyDescent="0.15">
      <c r="B34" s="16" t="s">
        <v>27</v>
      </c>
      <c r="C34" s="19"/>
      <c r="D34" s="27"/>
      <c r="E34" s="21"/>
      <c r="F34" s="14">
        <f t="shared" si="4"/>
        <v>0</v>
      </c>
      <c r="H34" s="5">
        <v>1.38</v>
      </c>
      <c r="I34" s="5">
        <v>9.5</v>
      </c>
      <c r="J34" s="5"/>
      <c r="M34">
        <f t="shared" si="16"/>
        <v>0</v>
      </c>
      <c r="N34">
        <f t="shared" si="17"/>
        <v>138</v>
      </c>
      <c r="O34">
        <f t="shared" si="18"/>
        <v>138</v>
      </c>
      <c r="P34" s="6">
        <f t="shared" si="19"/>
        <v>-311</v>
      </c>
    </row>
    <row r="35" spans="2:17" x14ac:dyDescent="0.15">
      <c r="B35" s="16" t="s">
        <v>28</v>
      </c>
      <c r="C35" s="19"/>
      <c r="D35" s="27"/>
      <c r="E35" s="21"/>
      <c r="F35" s="14">
        <f t="shared" si="4"/>
        <v>0</v>
      </c>
      <c r="H35" s="5">
        <v>3.4</v>
      </c>
      <c r="I35" s="5">
        <f>IF(E35&lt;0.8*H35,L35,Q35)</f>
        <v>8</v>
      </c>
      <c r="J35" s="5">
        <v>2</v>
      </c>
      <c r="K35" s="5">
        <v>4</v>
      </c>
      <c r="L35" s="5">
        <v>8</v>
      </c>
      <c r="M35">
        <f t="shared" si="16"/>
        <v>0</v>
      </c>
      <c r="N35">
        <f t="shared" si="17"/>
        <v>340</v>
      </c>
      <c r="O35">
        <f t="shared" si="18"/>
        <v>340</v>
      </c>
      <c r="P35" s="6">
        <f>IF(E35&lt;0.8*H35,1000-((N35-0.8*N35)*K35+(O35-(N35-N35*0.8))*L35),1000-O35*I35)</f>
        <v>-1448</v>
      </c>
      <c r="Q35" s="5">
        <f>IF(E35&gt;H35,J35,K35)</f>
        <v>4</v>
      </c>
    </row>
    <row r="36" spans="2:17" x14ac:dyDescent="0.15">
      <c r="B36" s="16" t="s">
        <v>11</v>
      </c>
      <c r="C36" s="19"/>
      <c r="D36" s="27"/>
      <c r="E36" s="21"/>
      <c r="F36" s="14">
        <f t="shared" si="4"/>
        <v>0</v>
      </c>
      <c r="H36" s="5">
        <v>5.7</v>
      </c>
      <c r="I36" s="5">
        <v>2.1</v>
      </c>
      <c r="J36" s="5"/>
      <c r="M36">
        <f t="shared" si="16"/>
        <v>0</v>
      </c>
      <c r="N36">
        <f t="shared" si="17"/>
        <v>570</v>
      </c>
      <c r="O36">
        <f t="shared" si="18"/>
        <v>570</v>
      </c>
      <c r="P36" s="6">
        <f t="shared" si="19"/>
        <v>-197</v>
      </c>
    </row>
    <row r="37" spans="2:17" x14ac:dyDescent="0.15">
      <c r="B37" s="16" t="s">
        <v>29</v>
      </c>
      <c r="C37" s="19"/>
      <c r="D37" s="27"/>
      <c r="E37" s="21"/>
      <c r="F37" s="14">
        <f t="shared" si="4"/>
        <v>0</v>
      </c>
      <c r="H37" s="5">
        <v>2.66</v>
      </c>
      <c r="I37" s="5">
        <v>6</v>
      </c>
      <c r="J37" s="5"/>
      <c r="M37">
        <f t="shared" si="16"/>
        <v>0</v>
      </c>
      <c r="N37">
        <f t="shared" si="17"/>
        <v>266</v>
      </c>
      <c r="O37">
        <f t="shared" si="18"/>
        <v>266</v>
      </c>
      <c r="P37" s="6">
        <f t="shared" si="19"/>
        <v>-596</v>
      </c>
    </row>
    <row r="38" spans="2:17" x14ac:dyDescent="0.15">
      <c r="B38" s="16" t="s">
        <v>30</v>
      </c>
      <c r="C38" s="20"/>
      <c r="D38" s="27"/>
      <c r="E38" s="21"/>
      <c r="F38" s="14">
        <f t="shared" si="4"/>
        <v>0</v>
      </c>
      <c r="H38" s="5">
        <v>12.6</v>
      </c>
      <c r="I38" s="5">
        <v>1</v>
      </c>
      <c r="J38" s="5"/>
      <c r="M38">
        <f t="shared" si="16"/>
        <v>0</v>
      </c>
      <c r="N38">
        <f t="shared" si="17"/>
        <v>1260</v>
      </c>
      <c r="O38">
        <f t="shared" si="18"/>
        <v>1260</v>
      </c>
      <c r="P38" s="6">
        <f t="shared" si="19"/>
        <v>-260</v>
      </c>
    </row>
    <row r="39" spans="2:17" x14ac:dyDescent="0.15">
      <c r="B39" s="16" t="s">
        <v>86</v>
      </c>
      <c r="C39" s="31" t="s">
        <v>108</v>
      </c>
      <c r="D39" s="27"/>
      <c r="E39" s="21"/>
      <c r="F39" s="14">
        <f t="shared" si="4"/>
        <v>0</v>
      </c>
      <c r="H39" s="5">
        <v>11.7</v>
      </c>
      <c r="I39" s="5">
        <f>IF(E39&lt;0.8*H39,L39,Q39)</f>
        <v>1.2</v>
      </c>
      <c r="J39" s="5">
        <v>0.3</v>
      </c>
      <c r="K39" s="5">
        <v>0.6</v>
      </c>
      <c r="L39" s="5">
        <v>1.2</v>
      </c>
      <c r="M39">
        <f t="shared" si="16"/>
        <v>0</v>
      </c>
      <c r="N39">
        <f t="shared" si="17"/>
        <v>1170</v>
      </c>
      <c r="O39">
        <f t="shared" si="18"/>
        <v>1170</v>
      </c>
      <c r="P39" s="6">
        <f>IF(E39&lt;0.8*H39,1000-((N39-0.8*N39)*K39+(O39-(N39-N39*0.8))*L39),1000-O39*I39)</f>
        <v>-263.60000000000014</v>
      </c>
      <c r="Q39" s="5">
        <f>IF(E39&gt;H39,J39,K39)</f>
        <v>0.6</v>
      </c>
    </row>
    <row r="40" spans="2:17" x14ac:dyDescent="0.15">
      <c r="B40" s="16" t="s">
        <v>87</v>
      </c>
      <c r="C40" s="31" t="s">
        <v>109</v>
      </c>
      <c r="D40" s="27"/>
      <c r="E40" s="21"/>
      <c r="F40" s="14">
        <f t="shared" si="4"/>
        <v>0</v>
      </c>
      <c r="H40" s="5">
        <v>43</v>
      </c>
      <c r="I40" s="5">
        <f>IF(E40&lt;0.8*H40,L40,Q40)</f>
        <v>0.6</v>
      </c>
      <c r="J40" s="5">
        <v>0.15</v>
      </c>
      <c r="K40" s="5">
        <v>0.3</v>
      </c>
      <c r="L40" s="5">
        <v>0.6</v>
      </c>
      <c r="M40">
        <f t="shared" si="16"/>
        <v>0</v>
      </c>
      <c r="N40">
        <f t="shared" si="17"/>
        <v>4300</v>
      </c>
      <c r="O40">
        <f t="shared" si="18"/>
        <v>4300</v>
      </c>
      <c r="P40" s="6">
        <f>IF(E40&lt;0.8*H40,1000-((N40-0.8*N40)*K40+(O40-(N40-N40*0.8))*L40),1000-O40*I40)</f>
        <v>-1322</v>
      </c>
      <c r="Q40" s="5">
        <f>IF(E40&gt;H40,J40,K40)</f>
        <v>0.3</v>
      </c>
    </row>
    <row r="41" spans="2:17" x14ac:dyDescent="0.15">
      <c r="B41" s="16" t="s">
        <v>88</v>
      </c>
      <c r="C41" s="31" t="s">
        <v>110</v>
      </c>
      <c r="D41" s="27"/>
      <c r="E41" s="21"/>
      <c r="F41" s="14">
        <f t="shared" si="4"/>
        <v>0</v>
      </c>
      <c r="H41" s="5">
        <v>48</v>
      </c>
      <c r="I41" s="5">
        <f>IF(E41&lt;0.8*H41,L41,Q41)</f>
        <v>0.5</v>
      </c>
      <c r="J41" s="5">
        <v>0.12</v>
      </c>
      <c r="K41" s="5">
        <v>0.25</v>
      </c>
      <c r="L41" s="5">
        <v>0.5</v>
      </c>
      <c r="M41">
        <f t="shared" si="16"/>
        <v>0</v>
      </c>
      <c r="N41">
        <f t="shared" si="17"/>
        <v>4800</v>
      </c>
      <c r="O41">
        <f t="shared" si="18"/>
        <v>4800</v>
      </c>
      <c r="P41" s="6">
        <f>IF(E41&lt;0.8*H41,1000-((N41-0.8*N41)*K41+(O41-(N41-N41*0.8))*L41),1000-O41*I41)</f>
        <v>-1160</v>
      </c>
      <c r="Q41" s="5">
        <f>IF(E41&gt;H41,J41,K41)</f>
        <v>0.25</v>
      </c>
    </row>
    <row r="42" spans="2:17" x14ac:dyDescent="0.15">
      <c r="B42" s="16" t="s">
        <v>89</v>
      </c>
      <c r="C42" s="31" t="s">
        <v>95</v>
      </c>
      <c r="D42" s="30"/>
      <c r="E42" s="21"/>
      <c r="F42" s="14">
        <f t="shared" si="4"/>
        <v>0</v>
      </c>
      <c r="H42" s="5">
        <v>43</v>
      </c>
      <c r="I42" s="5">
        <f>IF(E42&lt;0.8*H42,L42,Q42)</f>
        <v>0.5</v>
      </c>
      <c r="J42" s="5">
        <v>0.13</v>
      </c>
      <c r="K42" s="5">
        <v>0.25</v>
      </c>
      <c r="L42" s="5">
        <v>0.5</v>
      </c>
      <c r="M42">
        <f t="shared" si="16"/>
        <v>0</v>
      </c>
      <c r="N42">
        <f t="shared" si="17"/>
        <v>4300</v>
      </c>
      <c r="O42">
        <f t="shared" si="18"/>
        <v>4300</v>
      </c>
      <c r="P42" s="6">
        <f>IF(E42&lt;0.8*H42,1000-((N42-0.8*N42)*K42+(O42-(N42-N42*0.8))*L42),1000-O42*I42)</f>
        <v>-935</v>
      </c>
      <c r="Q42" s="5">
        <f>IF(E42&gt;H42,J42,K42)</f>
        <v>0.25</v>
      </c>
    </row>
    <row r="44" spans="2:17" x14ac:dyDescent="0.15">
      <c r="B44" s="60" t="s">
        <v>47</v>
      </c>
      <c r="C44" s="60"/>
      <c r="D44" s="60"/>
      <c r="E44" s="60"/>
      <c r="F44" s="60"/>
    </row>
    <row r="45" spans="2:17" x14ac:dyDescent="0.15">
      <c r="B45" s="60" t="s">
        <v>36</v>
      </c>
      <c r="C45" s="60"/>
      <c r="D45" s="60"/>
      <c r="E45" s="60"/>
      <c r="F45" s="60"/>
    </row>
    <row r="46" spans="2:17" x14ac:dyDescent="0.15">
      <c r="B46" s="60" t="s">
        <v>35</v>
      </c>
      <c r="C46" s="60"/>
      <c r="D46" s="60"/>
      <c r="E46" s="60"/>
      <c r="F46" s="60"/>
    </row>
    <row r="48" spans="2:17" ht="16" x14ac:dyDescent="0.2">
      <c r="B48" s="58" t="s">
        <v>146</v>
      </c>
      <c r="C48" s="59"/>
      <c r="D48" s="59"/>
      <c r="E48" s="59"/>
      <c r="F48" s="59"/>
    </row>
  </sheetData>
  <sheetProtection password="CCED" sheet="1" objects="1" scenarios="1" selectLockedCells="1"/>
  <mergeCells count="6">
    <mergeCell ref="D4:E4"/>
    <mergeCell ref="B4:C4"/>
    <mergeCell ref="B48:F48"/>
    <mergeCell ref="B44:F44"/>
    <mergeCell ref="B45:F45"/>
    <mergeCell ref="B46:F46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2"/>
  </sheetPr>
  <dimension ref="A1:Q49"/>
  <sheetViews>
    <sheetView showGridLines="0" showRowColHeaders="0" showOutlineSymbols="0" workbookViewId="0">
      <selection activeCell="E6" sqref="E6"/>
    </sheetView>
  </sheetViews>
  <sheetFormatPr baseColWidth="10" defaultColWidth="8.83203125" defaultRowHeight="13" x14ac:dyDescent="0.15"/>
  <cols>
    <col min="1" max="1" width="11.5" customWidth="1"/>
    <col min="2" max="2" width="16" customWidth="1"/>
    <col min="3" max="3" width="14.6640625" customWidth="1"/>
    <col min="4" max="6" width="11.5" customWidth="1"/>
    <col min="7" max="7" width="8.33203125" hidden="1" customWidth="1"/>
    <col min="8" max="8" width="10.33203125" hidden="1" customWidth="1"/>
    <col min="9" max="9" width="8.6640625" hidden="1" customWidth="1"/>
    <col min="10" max="10" width="8.33203125" hidden="1" customWidth="1"/>
    <col min="11" max="11" width="8.83203125" hidden="1" customWidth="1"/>
    <col min="12" max="12" width="8.6640625" hidden="1" customWidth="1"/>
    <col min="13" max="13" width="8" hidden="1" customWidth="1"/>
    <col min="14" max="15" width="8.1640625" hidden="1" customWidth="1"/>
    <col min="16" max="16" width="13.33203125" hidden="1" customWidth="1"/>
    <col min="17" max="17" width="7.1640625" hidden="1" customWidth="1"/>
    <col min="18" max="18" width="0" hidden="1" customWidth="1"/>
    <col min="19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56" t="s">
        <v>1</v>
      </c>
      <c r="E4" s="57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7" t="s">
        <v>32</v>
      </c>
      <c r="E5" s="38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6" t="s">
        <v>8</v>
      </c>
      <c r="C6" s="18"/>
      <c r="D6" s="26"/>
      <c r="E6" s="21"/>
      <c r="F6" s="14">
        <f t="shared" ref="F6:F11" si="0">IF(P6&lt;0,0,IF(E6=0,0,ROUNDDOWN(P6,0)))</f>
        <v>0</v>
      </c>
      <c r="H6" s="5">
        <v>7.25</v>
      </c>
      <c r="I6" s="5">
        <v>2.7</v>
      </c>
      <c r="J6" s="5"/>
      <c r="M6">
        <f t="shared" ref="M6:M11" si="1">E6*100</f>
        <v>0</v>
      </c>
      <c r="N6">
        <f t="shared" ref="N6:N11" si="2">H6*100</f>
        <v>725</v>
      </c>
      <c r="O6">
        <f t="shared" ref="O6:O19" si="3">N6-M6</f>
        <v>725</v>
      </c>
      <c r="P6" s="6">
        <f t="shared" ref="P6:P19" si="4">1000+O6*I6</f>
        <v>2957.5</v>
      </c>
    </row>
    <row r="7" spans="1:17" x14ac:dyDescent="0.15">
      <c r="B7" s="16" t="s">
        <v>69</v>
      </c>
      <c r="C7" s="19"/>
      <c r="D7" s="27"/>
      <c r="E7" s="21"/>
      <c r="F7" s="14">
        <f t="shared" si="0"/>
        <v>0</v>
      </c>
      <c r="H7" s="5">
        <v>9.35</v>
      </c>
      <c r="I7" s="5">
        <v>2.2000000000000002</v>
      </c>
      <c r="J7" s="5"/>
      <c r="M7">
        <f t="shared" si="1"/>
        <v>0</v>
      </c>
      <c r="N7">
        <f t="shared" si="2"/>
        <v>935</v>
      </c>
      <c r="O7">
        <f t="shared" si="3"/>
        <v>935</v>
      </c>
      <c r="P7" s="6">
        <f t="shared" si="4"/>
        <v>3057</v>
      </c>
    </row>
    <row r="8" spans="1:17" x14ac:dyDescent="0.15">
      <c r="B8" s="16" t="s">
        <v>13</v>
      </c>
      <c r="C8" s="19"/>
      <c r="D8" s="27"/>
      <c r="E8" s="21"/>
      <c r="F8" s="14">
        <f t="shared" si="0"/>
        <v>0</v>
      </c>
      <c r="H8" s="5">
        <v>11.35</v>
      </c>
      <c r="I8" s="5">
        <v>1.7</v>
      </c>
      <c r="J8" s="5"/>
      <c r="M8">
        <f t="shared" si="1"/>
        <v>0</v>
      </c>
      <c r="N8">
        <f t="shared" si="2"/>
        <v>1135</v>
      </c>
      <c r="O8">
        <f t="shared" si="3"/>
        <v>1135</v>
      </c>
      <c r="P8" s="6">
        <f t="shared" si="4"/>
        <v>2929.5</v>
      </c>
    </row>
    <row r="9" spans="1:17" x14ac:dyDescent="0.15">
      <c r="B9" s="16" t="s">
        <v>14</v>
      </c>
      <c r="C9" s="19"/>
      <c r="D9" s="27"/>
      <c r="E9" s="21"/>
      <c r="F9" s="14">
        <f t="shared" si="0"/>
        <v>0</v>
      </c>
      <c r="H9" s="5">
        <v>22.65</v>
      </c>
      <c r="I9" s="5">
        <v>0.85</v>
      </c>
      <c r="J9" s="5"/>
      <c r="M9">
        <f t="shared" si="1"/>
        <v>0</v>
      </c>
      <c r="N9">
        <f t="shared" si="2"/>
        <v>2265</v>
      </c>
      <c r="O9">
        <f t="shared" si="3"/>
        <v>2265</v>
      </c>
      <c r="P9" s="6">
        <f t="shared" si="4"/>
        <v>2925.25</v>
      </c>
    </row>
    <row r="10" spans="1:17" x14ac:dyDescent="0.15">
      <c r="B10" s="16" t="s">
        <v>15</v>
      </c>
      <c r="C10" s="19"/>
      <c r="D10" s="27"/>
      <c r="E10" s="21"/>
      <c r="F10" s="14">
        <f t="shared" si="0"/>
        <v>0</v>
      </c>
      <c r="H10" s="5">
        <v>36.450000000000003</v>
      </c>
      <c r="I10" s="5">
        <v>0.6</v>
      </c>
      <c r="J10" s="5"/>
      <c r="M10">
        <f t="shared" si="1"/>
        <v>0</v>
      </c>
      <c r="N10">
        <f t="shared" si="2"/>
        <v>3645.0000000000005</v>
      </c>
      <c r="O10">
        <f t="shared" si="3"/>
        <v>3645.0000000000005</v>
      </c>
      <c r="P10" s="6">
        <f t="shared" si="4"/>
        <v>3187</v>
      </c>
    </row>
    <row r="11" spans="1:17" x14ac:dyDescent="0.15">
      <c r="B11" s="16" t="s">
        <v>16</v>
      </c>
      <c r="C11" s="19"/>
      <c r="D11" s="30"/>
      <c r="E11" s="21"/>
      <c r="F11" s="14">
        <f t="shared" si="0"/>
        <v>0</v>
      </c>
      <c r="H11" s="5">
        <v>51</v>
      </c>
      <c r="I11" s="5">
        <v>0.4</v>
      </c>
      <c r="J11" s="5"/>
      <c r="M11">
        <f t="shared" si="1"/>
        <v>0</v>
      </c>
      <c r="N11">
        <f t="shared" si="2"/>
        <v>5100</v>
      </c>
      <c r="O11">
        <f t="shared" si="3"/>
        <v>5100</v>
      </c>
      <c r="P11" s="6">
        <f t="shared" si="4"/>
        <v>3040</v>
      </c>
    </row>
    <row r="12" spans="1:17" x14ac:dyDescent="0.15">
      <c r="B12" s="15" t="s">
        <v>9</v>
      </c>
      <c r="C12" s="19"/>
      <c r="D12" s="23"/>
      <c r="E12" s="22"/>
      <c r="F12" s="14">
        <f t="shared" ref="F12:F25" si="5">IF(P12&lt;0,0,IF(AND(E12=0,D12=0),0,ROUNDDOWN(P12,0)))</f>
        <v>0</v>
      </c>
      <c r="H12" s="5">
        <v>83</v>
      </c>
      <c r="I12" s="5">
        <v>2.6</v>
      </c>
      <c r="J12" s="5"/>
      <c r="M12">
        <f>(D12*60+E12)*10</f>
        <v>0</v>
      </c>
      <c r="N12">
        <f>H12*10</f>
        <v>830</v>
      </c>
      <c r="O12">
        <f t="shared" si="3"/>
        <v>830</v>
      </c>
      <c r="P12" s="6">
        <f t="shared" si="4"/>
        <v>3158</v>
      </c>
    </row>
    <row r="13" spans="1:17" x14ac:dyDescent="0.15">
      <c r="B13" s="15" t="s">
        <v>20</v>
      </c>
      <c r="C13" s="19"/>
      <c r="D13" s="24"/>
      <c r="E13" s="22"/>
      <c r="F13" s="14">
        <f t="shared" si="5"/>
        <v>0</v>
      </c>
      <c r="H13" s="5">
        <v>115.5</v>
      </c>
      <c r="I13" s="5">
        <v>1.8</v>
      </c>
      <c r="J13" s="5"/>
      <c r="M13">
        <f t="shared" ref="M13:M19" si="6">(D13*60+E13)*10</f>
        <v>0</v>
      </c>
      <c r="N13">
        <f t="shared" ref="N13:N19" si="7">H13*10</f>
        <v>1155</v>
      </c>
      <c r="O13">
        <f t="shared" si="3"/>
        <v>1155</v>
      </c>
      <c r="P13" s="6">
        <f t="shared" si="4"/>
        <v>3079</v>
      </c>
    </row>
    <row r="14" spans="1:17" x14ac:dyDescent="0.15">
      <c r="B14" s="15" t="s">
        <v>17</v>
      </c>
      <c r="C14" s="19"/>
      <c r="D14" s="24"/>
      <c r="E14" s="22"/>
      <c r="F14" s="14">
        <f t="shared" si="5"/>
        <v>0</v>
      </c>
      <c r="H14" s="5">
        <v>153</v>
      </c>
      <c r="I14" s="5">
        <v>1.1000000000000001</v>
      </c>
      <c r="J14" s="5"/>
      <c r="M14">
        <f t="shared" si="6"/>
        <v>0</v>
      </c>
      <c r="N14">
        <f t="shared" si="7"/>
        <v>1530</v>
      </c>
      <c r="O14">
        <f t="shared" si="3"/>
        <v>1530</v>
      </c>
      <c r="P14" s="6">
        <f t="shared" si="4"/>
        <v>2683</v>
      </c>
    </row>
    <row r="15" spans="1:17" x14ac:dyDescent="0.15">
      <c r="B15" s="15" t="s">
        <v>18</v>
      </c>
      <c r="C15" s="19"/>
      <c r="D15" s="24"/>
      <c r="E15" s="22"/>
      <c r="F15" s="14">
        <f t="shared" si="5"/>
        <v>0</v>
      </c>
      <c r="H15" s="5">
        <v>242</v>
      </c>
      <c r="I15" s="5">
        <v>0.7</v>
      </c>
      <c r="J15" s="5"/>
      <c r="M15">
        <f t="shared" si="6"/>
        <v>0</v>
      </c>
      <c r="N15">
        <f t="shared" si="7"/>
        <v>2420</v>
      </c>
      <c r="O15">
        <f t="shared" si="3"/>
        <v>2420</v>
      </c>
      <c r="P15" s="6">
        <f t="shared" si="4"/>
        <v>2694</v>
      </c>
    </row>
    <row r="16" spans="1:17" x14ac:dyDescent="0.15">
      <c r="B16" s="15" t="s">
        <v>19</v>
      </c>
      <c r="C16" s="19"/>
      <c r="D16" s="24"/>
      <c r="E16" s="22"/>
      <c r="F16" s="14">
        <f t="shared" si="5"/>
        <v>0</v>
      </c>
      <c r="H16" s="5">
        <v>341</v>
      </c>
      <c r="I16" s="5">
        <v>0.45</v>
      </c>
      <c r="J16" s="5"/>
      <c r="M16">
        <f t="shared" si="6"/>
        <v>0</v>
      </c>
      <c r="N16">
        <f t="shared" si="7"/>
        <v>3410</v>
      </c>
      <c r="O16">
        <f t="shared" si="3"/>
        <v>3410</v>
      </c>
      <c r="P16" s="6">
        <f t="shared" si="4"/>
        <v>2534.5</v>
      </c>
    </row>
    <row r="17" spans="2:16" x14ac:dyDescent="0.15">
      <c r="B17" s="15" t="s">
        <v>21</v>
      </c>
      <c r="C17" s="19"/>
      <c r="D17" s="24"/>
      <c r="E17" s="22"/>
      <c r="F17" s="14">
        <f t="shared" si="5"/>
        <v>0</v>
      </c>
      <c r="H17" s="5">
        <v>530</v>
      </c>
      <c r="I17" s="5">
        <v>0.27</v>
      </c>
      <c r="J17" s="5"/>
      <c r="M17">
        <f t="shared" si="6"/>
        <v>0</v>
      </c>
      <c r="N17">
        <f t="shared" si="7"/>
        <v>5300</v>
      </c>
      <c r="O17">
        <f t="shared" si="3"/>
        <v>5300</v>
      </c>
      <c r="P17" s="6">
        <f t="shared" si="4"/>
        <v>2431</v>
      </c>
    </row>
    <row r="18" spans="2:16" x14ac:dyDescent="0.15">
      <c r="B18" s="15" t="s">
        <v>22</v>
      </c>
      <c r="C18" s="19"/>
      <c r="D18" s="24"/>
      <c r="E18" s="22"/>
      <c r="F18" s="14">
        <f t="shared" si="5"/>
        <v>0</v>
      </c>
      <c r="H18" s="5">
        <v>930</v>
      </c>
      <c r="I18" s="5">
        <v>0.15</v>
      </c>
      <c r="J18" s="5"/>
      <c r="M18">
        <f t="shared" si="6"/>
        <v>0</v>
      </c>
      <c r="N18">
        <f t="shared" si="7"/>
        <v>9300</v>
      </c>
      <c r="O18">
        <f t="shared" si="3"/>
        <v>9300</v>
      </c>
      <c r="P18" s="6">
        <f t="shared" si="4"/>
        <v>2395</v>
      </c>
    </row>
    <row r="19" spans="2:16" x14ac:dyDescent="0.15">
      <c r="B19" s="15" t="s">
        <v>23</v>
      </c>
      <c r="C19" s="20"/>
      <c r="D19" s="25"/>
      <c r="E19" s="22"/>
      <c r="F19" s="14">
        <f t="shared" si="5"/>
        <v>0</v>
      </c>
      <c r="H19" s="5">
        <v>1980</v>
      </c>
      <c r="I19" s="5">
        <v>0.06</v>
      </c>
      <c r="J19" s="5"/>
      <c r="M19">
        <f t="shared" si="6"/>
        <v>0</v>
      </c>
      <c r="N19">
        <f t="shared" si="7"/>
        <v>19800</v>
      </c>
      <c r="O19">
        <f t="shared" si="3"/>
        <v>19800</v>
      </c>
      <c r="P19" s="6">
        <f t="shared" si="4"/>
        <v>2188</v>
      </c>
    </row>
    <row r="20" spans="2:16" x14ac:dyDescent="0.15">
      <c r="B20" s="16" t="s">
        <v>17</v>
      </c>
      <c r="C20" s="48" t="s">
        <v>137</v>
      </c>
      <c r="D20" s="25"/>
      <c r="E20" s="21"/>
      <c r="F20" s="14">
        <f t="shared" si="5"/>
        <v>0</v>
      </c>
      <c r="H20" s="5">
        <v>242</v>
      </c>
      <c r="I20" s="5">
        <v>0.7</v>
      </c>
      <c r="J20" s="5"/>
      <c r="M20">
        <f t="shared" ref="M20:M25" si="8">(D20*60+E20)*10</f>
        <v>0</v>
      </c>
      <c r="N20">
        <f t="shared" ref="N20:N25" si="9">H20*10</f>
        <v>2420</v>
      </c>
      <c r="O20">
        <f t="shared" ref="O20:O25" si="10">N20-M20</f>
        <v>2420</v>
      </c>
      <c r="P20" s="6">
        <f t="shared" ref="P20:P25" si="11">1000+O20*I20</f>
        <v>2694</v>
      </c>
    </row>
    <row r="21" spans="2:16" x14ac:dyDescent="0.15">
      <c r="B21" s="16" t="s">
        <v>19</v>
      </c>
      <c r="C21" s="48" t="s">
        <v>137</v>
      </c>
      <c r="D21" s="25"/>
      <c r="E21" s="21"/>
      <c r="F21" s="14">
        <f t="shared" si="5"/>
        <v>0</v>
      </c>
      <c r="H21" s="5">
        <v>510</v>
      </c>
      <c r="I21" s="5">
        <v>0.3</v>
      </c>
      <c r="J21" s="5"/>
      <c r="M21">
        <f t="shared" si="8"/>
        <v>0</v>
      </c>
      <c r="N21">
        <f t="shared" si="9"/>
        <v>5100</v>
      </c>
      <c r="O21">
        <f t="shared" si="10"/>
        <v>5100</v>
      </c>
      <c r="P21" s="6">
        <f t="shared" si="11"/>
        <v>2530</v>
      </c>
    </row>
    <row r="22" spans="2:16" x14ac:dyDescent="0.15">
      <c r="B22" s="16" t="s">
        <v>21</v>
      </c>
      <c r="C22" s="48" t="s">
        <v>137</v>
      </c>
      <c r="D22" s="25"/>
      <c r="E22" s="21"/>
      <c r="F22" s="14">
        <f t="shared" si="5"/>
        <v>0</v>
      </c>
      <c r="H22" s="5">
        <v>796</v>
      </c>
      <c r="I22" s="5">
        <v>0.18</v>
      </c>
      <c r="J22" s="5"/>
      <c r="M22">
        <f t="shared" si="8"/>
        <v>0</v>
      </c>
      <c r="N22">
        <f t="shared" si="9"/>
        <v>7960</v>
      </c>
      <c r="O22">
        <f t="shared" si="10"/>
        <v>7960</v>
      </c>
      <c r="P22" s="6">
        <f t="shared" si="11"/>
        <v>2432.8000000000002</v>
      </c>
    </row>
    <row r="23" spans="2:16" x14ac:dyDescent="0.15">
      <c r="B23" s="16" t="s">
        <v>22</v>
      </c>
      <c r="C23" s="48" t="s">
        <v>137</v>
      </c>
      <c r="D23" s="25"/>
      <c r="E23" s="21"/>
      <c r="F23" s="14">
        <f t="shared" si="5"/>
        <v>0</v>
      </c>
      <c r="H23" s="5">
        <v>1365</v>
      </c>
      <c r="I23" s="5">
        <v>0.11</v>
      </c>
      <c r="J23" s="5"/>
      <c r="M23">
        <f t="shared" si="8"/>
        <v>0</v>
      </c>
      <c r="N23">
        <f t="shared" si="9"/>
        <v>13650</v>
      </c>
      <c r="O23">
        <f t="shared" si="10"/>
        <v>13650</v>
      </c>
      <c r="P23" s="6">
        <f t="shared" si="11"/>
        <v>2501.5</v>
      </c>
    </row>
    <row r="24" spans="2:16" x14ac:dyDescent="0.15">
      <c r="B24" s="16" t="s">
        <v>23</v>
      </c>
      <c r="C24" s="48" t="s">
        <v>137</v>
      </c>
      <c r="D24" s="25"/>
      <c r="E24" s="21"/>
      <c r="F24" s="14">
        <f t="shared" si="5"/>
        <v>0</v>
      </c>
      <c r="H24" s="5">
        <v>2890</v>
      </c>
      <c r="I24" s="5">
        <v>0.05</v>
      </c>
      <c r="J24" s="5"/>
      <c r="M24">
        <f t="shared" si="8"/>
        <v>0</v>
      </c>
      <c r="N24">
        <f t="shared" si="9"/>
        <v>28900</v>
      </c>
      <c r="O24">
        <f t="shared" si="10"/>
        <v>28900</v>
      </c>
      <c r="P24" s="6">
        <f t="shared" si="11"/>
        <v>2445</v>
      </c>
    </row>
    <row r="25" spans="2:16" x14ac:dyDescent="0.15">
      <c r="B25" s="16" t="s">
        <v>138</v>
      </c>
      <c r="C25" s="48" t="s">
        <v>137</v>
      </c>
      <c r="D25" s="25"/>
      <c r="E25" s="21"/>
      <c r="F25" s="14">
        <f t="shared" si="5"/>
        <v>0</v>
      </c>
      <c r="H25" s="5">
        <v>6000</v>
      </c>
      <c r="I25" s="5">
        <v>0.02</v>
      </c>
      <c r="J25" s="5"/>
      <c r="M25">
        <f t="shared" si="8"/>
        <v>0</v>
      </c>
      <c r="N25">
        <f t="shared" si="9"/>
        <v>60000</v>
      </c>
      <c r="O25">
        <f t="shared" si="10"/>
        <v>60000</v>
      </c>
      <c r="P25" s="6">
        <f t="shared" si="11"/>
        <v>2200</v>
      </c>
    </row>
    <row r="26" spans="2:16" x14ac:dyDescent="0.15">
      <c r="B26" s="16" t="s">
        <v>120</v>
      </c>
      <c r="C26" s="31" t="s">
        <v>121</v>
      </c>
      <c r="D26" s="26"/>
      <c r="E26" s="21"/>
      <c r="F26" s="14">
        <f>IF(P26&lt;0,0,IF(E26=0,0,ROUNDDOWN(P26,0)))</f>
        <v>0</v>
      </c>
      <c r="H26" s="5">
        <v>15.3</v>
      </c>
      <c r="I26" s="5">
        <v>1</v>
      </c>
      <c r="J26" s="5"/>
      <c r="M26">
        <f>E26*100</f>
        <v>0</v>
      </c>
      <c r="N26">
        <f>H26*100</f>
        <v>1530</v>
      </c>
      <c r="O26">
        <f>N26-M26</f>
        <v>1530</v>
      </c>
      <c r="P26" s="6">
        <f>1000+O26*I26</f>
        <v>2530</v>
      </c>
    </row>
    <row r="27" spans="2:16" x14ac:dyDescent="0.15">
      <c r="B27" s="16" t="s">
        <v>120</v>
      </c>
      <c r="C27" s="31" t="s">
        <v>122</v>
      </c>
      <c r="D27" s="27"/>
      <c r="E27" s="21"/>
      <c r="F27" s="14">
        <f>IF(P27&lt;0,0,IF(E27=0,0,ROUNDDOWN(P27,0)))</f>
        <v>0</v>
      </c>
      <c r="H27" s="5">
        <v>15.7</v>
      </c>
      <c r="I27" s="5">
        <v>1</v>
      </c>
      <c r="J27" s="5"/>
      <c r="M27">
        <f>E27*100</f>
        <v>0</v>
      </c>
      <c r="N27">
        <f>H27*100</f>
        <v>1570</v>
      </c>
      <c r="O27">
        <f t="shared" ref="O27:O32" si="12">N27-M27</f>
        <v>1570</v>
      </c>
      <c r="P27" s="6">
        <f t="shared" ref="P27:P32" si="13">1000+O27*I27</f>
        <v>2570</v>
      </c>
    </row>
    <row r="28" spans="2:16" x14ac:dyDescent="0.15">
      <c r="B28" s="16" t="s">
        <v>81</v>
      </c>
      <c r="C28" s="31" t="s">
        <v>115</v>
      </c>
      <c r="D28" s="27"/>
      <c r="E28" s="21"/>
      <c r="F28" s="14">
        <f>IF(P28&lt;0,0,IF(E28=0,0,ROUNDDOWN(P28,0)))</f>
        <v>0</v>
      </c>
      <c r="H28" s="5">
        <v>26.5</v>
      </c>
      <c r="I28" s="5">
        <v>0.6</v>
      </c>
      <c r="J28" s="5"/>
      <c r="M28">
        <f>E28*100</f>
        <v>0</v>
      </c>
      <c r="N28">
        <f>H28*100</f>
        <v>2650</v>
      </c>
      <c r="O28">
        <f t="shared" si="12"/>
        <v>2650</v>
      </c>
      <c r="P28" s="6">
        <f t="shared" si="13"/>
        <v>2590</v>
      </c>
    </row>
    <row r="29" spans="2:16" x14ac:dyDescent="0.15">
      <c r="B29" s="16" t="s">
        <v>102</v>
      </c>
      <c r="C29" s="31" t="s">
        <v>123</v>
      </c>
      <c r="D29" s="27"/>
      <c r="E29" s="21"/>
      <c r="F29" s="14">
        <f>IF(P29&lt;0,0,IF(E29=0,0,ROUNDDOWN(P29,0)))</f>
        <v>0</v>
      </c>
      <c r="H29" s="5">
        <v>40.5</v>
      </c>
      <c r="I29" s="5">
        <v>0.46</v>
      </c>
      <c r="J29" s="5"/>
      <c r="M29">
        <f>E29*100</f>
        <v>0</v>
      </c>
      <c r="N29">
        <f>H29*100</f>
        <v>4050</v>
      </c>
      <c r="O29">
        <f t="shared" si="12"/>
        <v>4050</v>
      </c>
      <c r="P29" s="6">
        <f t="shared" si="13"/>
        <v>2863</v>
      </c>
    </row>
    <row r="30" spans="2:16" x14ac:dyDescent="0.15">
      <c r="B30" s="16" t="s">
        <v>117</v>
      </c>
      <c r="C30" s="31" t="s">
        <v>123</v>
      </c>
      <c r="D30" s="30"/>
      <c r="E30" s="21"/>
      <c r="F30" s="14">
        <f>IF(P30&lt;0,0,IF(E30=0,0,ROUNDDOWN(P30,0)))</f>
        <v>0</v>
      </c>
      <c r="H30" s="5">
        <v>56</v>
      </c>
      <c r="I30" s="5">
        <v>0.34</v>
      </c>
      <c r="J30" s="5"/>
      <c r="M30">
        <f>E30*100</f>
        <v>0</v>
      </c>
      <c r="N30">
        <f>H30*100</f>
        <v>5600</v>
      </c>
      <c r="O30">
        <f t="shared" si="12"/>
        <v>5600</v>
      </c>
      <c r="P30" s="6">
        <f t="shared" si="13"/>
        <v>2904</v>
      </c>
    </row>
    <row r="31" spans="2:16" x14ac:dyDescent="0.15">
      <c r="B31" s="16" t="s">
        <v>25</v>
      </c>
      <c r="C31" s="31" t="s">
        <v>107</v>
      </c>
      <c r="D31" s="24"/>
      <c r="E31" s="22"/>
      <c r="F31" s="14">
        <f>IF(P31&lt;0,0,IF(AND(E31=0,D31=0),0,ROUNDDOWN(P31,0)))</f>
        <v>0</v>
      </c>
      <c r="H31" s="5">
        <v>375</v>
      </c>
      <c r="I31" s="5">
        <v>0.41</v>
      </c>
      <c r="J31" s="5"/>
      <c r="M31">
        <f>(D31*60+E31)*10</f>
        <v>0</v>
      </c>
      <c r="N31">
        <f>H31*10</f>
        <v>3750</v>
      </c>
      <c r="O31">
        <f t="shared" si="12"/>
        <v>3750</v>
      </c>
      <c r="P31" s="6">
        <f t="shared" si="13"/>
        <v>2537.5</v>
      </c>
    </row>
    <row r="32" spans="2:16" x14ac:dyDescent="0.15">
      <c r="B32" s="16" t="s">
        <v>26</v>
      </c>
      <c r="C32" s="31" t="s">
        <v>116</v>
      </c>
      <c r="D32" s="24"/>
      <c r="E32" s="22"/>
      <c r="F32" s="14">
        <f>IF(P32&lt;0,0,IF(AND(E32=0,D32=0),0,ROUNDDOWN(P32,0)))</f>
        <v>0</v>
      </c>
      <c r="H32" s="5">
        <v>595</v>
      </c>
      <c r="I32" s="5">
        <v>0.27</v>
      </c>
      <c r="J32" s="5"/>
      <c r="M32">
        <f>(D32*60+E32)*10</f>
        <v>0</v>
      </c>
      <c r="N32">
        <f>H32*10</f>
        <v>5950</v>
      </c>
      <c r="O32">
        <f t="shared" si="12"/>
        <v>5950</v>
      </c>
      <c r="P32" s="6">
        <f t="shared" si="13"/>
        <v>2606.5</v>
      </c>
    </row>
    <row r="33" spans="2:17" ht="16" x14ac:dyDescent="0.2">
      <c r="B33" s="7"/>
      <c r="C33" s="7"/>
      <c r="D33" s="7"/>
      <c r="E33" s="35" t="s">
        <v>34</v>
      </c>
      <c r="F33" s="4"/>
      <c r="G33" s="4"/>
      <c r="H33" s="8"/>
      <c r="I33" s="8"/>
      <c r="J33" s="8"/>
      <c r="K33" s="4"/>
      <c r="L33" s="4"/>
      <c r="M33" s="4"/>
      <c r="N33" s="4"/>
      <c r="O33" s="4"/>
      <c r="P33" s="4"/>
      <c r="Q33" s="4"/>
    </row>
    <row r="34" spans="2:17" x14ac:dyDescent="0.15">
      <c r="B34" s="16" t="s">
        <v>10</v>
      </c>
      <c r="C34" s="18"/>
      <c r="D34" s="26"/>
      <c r="E34" s="21"/>
      <c r="F34" s="14">
        <f>IF(P34&lt;0,0,IF(E34=0,0,ROUNDDOWN(P34,0)))</f>
        <v>0</v>
      </c>
      <c r="H34" s="5">
        <v>1.96</v>
      </c>
      <c r="I34" s="5">
        <v>7</v>
      </c>
      <c r="J34" s="5"/>
      <c r="M34">
        <f t="shared" ref="M34:M43" si="14">E34*100</f>
        <v>0</v>
      </c>
      <c r="N34">
        <f t="shared" ref="N34:N43" si="15">H34*100</f>
        <v>196</v>
      </c>
      <c r="O34">
        <f t="shared" ref="O34:O43" si="16">N34-M34</f>
        <v>196</v>
      </c>
      <c r="P34" s="6">
        <f t="shared" ref="P34:P39" si="17">1000-O34*I34</f>
        <v>-372</v>
      </c>
    </row>
    <row r="35" spans="2:17" x14ac:dyDescent="0.15">
      <c r="B35" s="16" t="s">
        <v>27</v>
      </c>
      <c r="C35" s="19"/>
      <c r="D35" s="27"/>
      <c r="E35" s="21"/>
      <c r="F35" s="14">
        <f t="shared" ref="F35:F43" si="18">IF(P35&lt;0,0,IF(E35=0,0,ROUNDDOWN(P35,0)))</f>
        <v>0</v>
      </c>
      <c r="H35" s="5">
        <v>1.59</v>
      </c>
      <c r="I35" s="5">
        <v>8.5</v>
      </c>
      <c r="J35" s="5"/>
      <c r="M35">
        <f t="shared" si="14"/>
        <v>0</v>
      </c>
      <c r="N35">
        <f t="shared" si="15"/>
        <v>159</v>
      </c>
      <c r="O35">
        <f t="shared" si="16"/>
        <v>159</v>
      </c>
      <c r="P35" s="6">
        <f t="shared" si="17"/>
        <v>-351.5</v>
      </c>
    </row>
    <row r="36" spans="2:17" x14ac:dyDescent="0.15">
      <c r="B36" s="16" t="s">
        <v>28</v>
      </c>
      <c r="C36" s="19"/>
      <c r="D36" s="27"/>
      <c r="E36" s="21"/>
      <c r="F36" s="14">
        <f t="shared" si="18"/>
        <v>0</v>
      </c>
      <c r="H36" s="5">
        <v>4.3</v>
      </c>
      <c r="I36" s="5">
        <f>IF(E36&lt;0.8*H36,L36,Q36)</f>
        <v>7</v>
      </c>
      <c r="J36" s="5">
        <v>1.7</v>
      </c>
      <c r="K36" s="5">
        <v>3.5</v>
      </c>
      <c r="L36" s="5">
        <v>7</v>
      </c>
      <c r="M36">
        <f t="shared" si="14"/>
        <v>0</v>
      </c>
      <c r="N36">
        <f t="shared" si="15"/>
        <v>430</v>
      </c>
      <c r="O36">
        <f t="shared" si="16"/>
        <v>430</v>
      </c>
      <c r="P36" s="6">
        <f>IF(E36&lt;0.8*H36,1000-((N36-0.8*N36)*K36+(O36-(N36-N36*0.8))*L36),1000-O36*I36)</f>
        <v>-1709</v>
      </c>
      <c r="Q36" s="5">
        <f>IF(E36&gt;H36,J36,K36)</f>
        <v>3.5</v>
      </c>
    </row>
    <row r="37" spans="2:17" x14ac:dyDescent="0.15">
      <c r="B37" s="16" t="s">
        <v>11</v>
      </c>
      <c r="C37" s="19"/>
      <c r="D37" s="27"/>
      <c r="E37" s="21"/>
      <c r="F37" s="14">
        <f t="shared" si="18"/>
        <v>0</v>
      </c>
      <c r="H37" s="5">
        <v>6.8</v>
      </c>
      <c r="I37" s="5">
        <v>2</v>
      </c>
      <c r="J37" s="5"/>
      <c r="M37">
        <f t="shared" si="14"/>
        <v>0</v>
      </c>
      <c r="N37">
        <f t="shared" si="15"/>
        <v>680</v>
      </c>
      <c r="O37">
        <f t="shared" si="16"/>
        <v>680</v>
      </c>
      <c r="P37" s="6">
        <f t="shared" si="17"/>
        <v>-360</v>
      </c>
    </row>
    <row r="38" spans="2:17" x14ac:dyDescent="0.15">
      <c r="B38" s="16" t="s">
        <v>29</v>
      </c>
      <c r="C38" s="19"/>
      <c r="D38" s="27"/>
      <c r="E38" s="21"/>
      <c r="F38" s="14">
        <f t="shared" si="18"/>
        <v>0</v>
      </c>
      <c r="H38" s="5">
        <v>3.1</v>
      </c>
      <c r="I38" s="5">
        <v>5</v>
      </c>
      <c r="J38" s="5"/>
      <c r="M38">
        <f t="shared" si="14"/>
        <v>0</v>
      </c>
      <c r="N38">
        <f t="shared" si="15"/>
        <v>310</v>
      </c>
      <c r="O38">
        <f t="shared" si="16"/>
        <v>310</v>
      </c>
      <c r="P38" s="6">
        <f t="shared" si="17"/>
        <v>-550</v>
      </c>
    </row>
    <row r="39" spans="2:17" x14ac:dyDescent="0.15">
      <c r="B39" s="16" t="s">
        <v>30</v>
      </c>
      <c r="C39" s="20"/>
      <c r="D39" s="27"/>
      <c r="E39" s="21"/>
      <c r="F39" s="14">
        <f t="shared" si="18"/>
        <v>0</v>
      </c>
      <c r="H39" s="5">
        <v>14</v>
      </c>
      <c r="I39" s="5">
        <v>1</v>
      </c>
      <c r="J39" s="5"/>
      <c r="M39">
        <f t="shared" si="14"/>
        <v>0</v>
      </c>
      <c r="N39">
        <f t="shared" si="15"/>
        <v>1400</v>
      </c>
      <c r="O39">
        <f t="shared" si="16"/>
        <v>1400</v>
      </c>
      <c r="P39" s="6">
        <f t="shared" si="17"/>
        <v>-400</v>
      </c>
    </row>
    <row r="40" spans="2:17" x14ac:dyDescent="0.15">
      <c r="B40" s="16" t="s">
        <v>86</v>
      </c>
      <c r="C40" s="31" t="s">
        <v>131</v>
      </c>
      <c r="D40" s="27"/>
      <c r="E40" s="21"/>
      <c r="F40" s="14">
        <f t="shared" si="18"/>
        <v>0</v>
      </c>
      <c r="H40" s="5">
        <v>14.6</v>
      </c>
      <c r="I40" s="5">
        <f>IF(E40&lt;0.8*H40,L40,Q40)</f>
        <v>1.2</v>
      </c>
      <c r="J40" s="5">
        <v>0.3</v>
      </c>
      <c r="K40" s="5">
        <v>0.6</v>
      </c>
      <c r="L40" s="5">
        <v>1.2</v>
      </c>
      <c r="M40">
        <f t="shared" si="14"/>
        <v>0</v>
      </c>
      <c r="N40">
        <f t="shared" si="15"/>
        <v>1460</v>
      </c>
      <c r="O40">
        <f t="shared" si="16"/>
        <v>1460</v>
      </c>
      <c r="P40" s="6">
        <f>IF(E40&lt;0.8*H40,1000-((N40-0.8*N40)*K40+(O40-(N40-N40*0.8))*L40),1000-O40*I40)</f>
        <v>-576.79999999999995</v>
      </c>
      <c r="Q40" s="5">
        <f>IF(E40&gt;H40,J40,K40)</f>
        <v>0.6</v>
      </c>
    </row>
    <row r="41" spans="2:17" x14ac:dyDescent="0.15">
      <c r="B41" s="16" t="s">
        <v>87</v>
      </c>
      <c r="C41" s="31" t="s">
        <v>130</v>
      </c>
      <c r="D41" s="27"/>
      <c r="E41" s="21"/>
      <c r="F41" s="14">
        <f t="shared" si="18"/>
        <v>0</v>
      </c>
      <c r="H41" s="5">
        <v>46</v>
      </c>
      <c r="I41" s="5">
        <f>IF(E41&lt;0.8*H41,L41,Q41)</f>
        <v>0.5</v>
      </c>
      <c r="J41" s="5">
        <v>0.13</v>
      </c>
      <c r="K41" s="5">
        <v>0.25</v>
      </c>
      <c r="L41" s="5">
        <v>0.5</v>
      </c>
      <c r="M41">
        <f t="shared" si="14"/>
        <v>0</v>
      </c>
      <c r="N41">
        <f t="shared" si="15"/>
        <v>4600</v>
      </c>
      <c r="O41">
        <f t="shared" si="16"/>
        <v>4600</v>
      </c>
      <c r="P41" s="6">
        <f>IF(E41&lt;0.8*H41,1000-((N41-0.8*N41)*K41+(O41-(N41-N41*0.8))*L41),1000-O41*I41)</f>
        <v>-1070</v>
      </c>
      <c r="Q41" s="5">
        <f>IF(E41&gt;H41,J41,K41)</f>
        <v>0.25</v>
      </c>
    </row>
    <row r="42" spans="2:17" x14ac:dyDescent="0.15">
      <c r="B42" s="16" t="s">
        <v>88</v>
      </c>
      <c r="C42" s="31" t="s">
        <v>132</v>
      </c>
      <c r="D42" s="27"/>
      <c r="E42" s="21"/>
      <c r="F42" s="14">
        <f t="shared" si="18"/>
        <v>0</v>
      </c>
      <c r="H42" s="5">
        <v>56</v>
      </c>
      <c r="I42" s="5">
        <f>IF(E42&lt;0.8*H42,L42,Q42)</f>
        <v>0.4</v>
      </c>
      <c r="J42" s="5">
        <v>0.1</v>
      </c>
      <c r="K42" s="5">
        <v>0.2</v>
      </c>
      <c r="L42" s="5">
        <v>0.4</v>
      </c>
      <c r="M42">
        <f t="shared" si="14"/>
        <v>0</v>
      </c>
      <c r="N42">
        <f t="shared" si="15"/>
        <v>5600</v>
      </c>
      <c r="O42">
        <f t="shared" si="16"/>
        <v>5600</v>
      </c>
      <c r="P42" s="6">
        <f>IF(E42&lt;0.8*H42,1000-((N42-0.8*N42)*K42+(O42-(N42-N42*0.8))*L42),1000-O42*I42)</f>
        <v>-1016</v>
      </c>
      <c r="Q42" s="5">
        <f>IF(E42&gt;H42,J42,K42)</f>
        <v>0.2</v>
      </c>
    </row>
    <row r="43" spans="2:17" x14ac:dyDescent="0.15">
      <c r="B43" s="16" t="s">
        <v>89</v>
      </c>
      <c r="C43" s="31" t="s">
        <v>127</v>
      </c>
      <c r="D43" s="30"/>
      <c r="E43" s="21"/>
      <c r="F43" s="14">
        <f t="shared" si="18"/>
        <v>0</v>
      </c>
      <c r="H43" s="5">
        <v>59</v>
      </c>
      <c r="I43" s="5">
        <f>IF(E43&lt;0.8*H43,L43,Q43)</f>
        <v>0.4</v>
      </c>
      <c r="J43" s="5">
        <v>0.1</v>
      </c>
      <c r="K43" s="5">
        <v>0.2</v>
      </c>
      <c r="L43" s="5">
        <v>0.4</v>
      </c>
      <c r="M43">
        <f t="shared" si="14"/>
        <v>0</v>
      </c>
      <c r="N43">
        <f t="shared" si="15"/>
        <v>5900</v>
      </c>
      <c r="O43">
        <f t="shared" si="16"/>
        <v>5900</v>
      </c>
      <c r="P43" s="6">
        <f>IF(E43&lt;0.8*H43,1000-((N43-0.8*N43)*K43+(O43-(N43-N43*0.8))*L43),1000-O43*I43)</f>
        <v>-1124</v>
      </c>
      <c r="Q43" s="5">
        <f>IF(E43&gt;H43,J43,K43)</f>
        <v>0.2</v>
      </c>
    </row>
    <row r="45" spans="2:17" x14ac:dyDescent="0.15">
      <c r="B45" s="60" t="s">
        <v>47</v>
      </c>
      <c r="C45" s="60"/>
      <c r="D45" s="60"/>
      <c r="E45" s="60"/>
      <c r="F45" s="60"/>
    </row>
    <row r="46" spans="2:17" x14ac:dyDescent="0.15">
      <c r="B46" s="60" t="s">
        <v>36</v>
      </c>
      <c r="C46" s="60"/>
      <c r="D46" s="60"/>
      <c r="E46" s="60"/>
      <c r="F46" s="60"/>
    </row>
    <row r="47" spans="2:17" x14ac:dyDescent="0.15">
      <c r="B47" s="60" t="s">
        <v>35</v>
      </c>
      <c r="C47" s="60"/>
      <c r="D47" s="60"/>
      <c r="E47" s="60"/>
      <c r="F47" s="60"/>
    </row>
    <row r="49" spans="2:6" ht="16" x14ac:dyDescent="0.2">
      <c r="B49" s="58" t="s">
        <v>146</v>
      </c>
      <c r="C49" s="59"/>
      <c r="D49" s="59"/>
      <c r="E49" s="59"/>
      <c r="F49" s="59"/>
    </row>
  </sheetData>
  <sheetProtection password="CCED" sheet="1" objects="1" scenarios="1" selectLockedCells="1"/>
  <mergeCells count="6">
    <mergeCell ref="D4:E4"/>
    <mergeCell ref="B4:C4"/>
    <mergeCell ref="B49:F49"/>
    <mergeCell ref="B45:F45"/>
    <mergeCell ref="B46:F46"/>
    <mergeCell ref="B47:F47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0"/>
  </sheetPr>
  <dimension ref="A1:Q48"/>
  <sheetViews>
    <sheetView showGridLines="0" showRowColHeaders="0" showOutlineSymbols="0" topLeftCell="A10" workbookViewId="0">
      <selection activeCell="E6" sqref="E6"/>
    </sheetView>
  </sheetViews>
  <sheetFormatPr baseColWidth="10" defaultColWidth="8.83203125" defaultRowHeight="13" x14ac:dyDescent="0.15"/>
  <cols>
    <col min="1" max="1" width="11.5" customWidth="1"/>
    <col min="2" max="2" width="15.83203125" customWidth="1"/>
    <col min="3" max="3" width="12.83203125" customWidth="1"/>
    <col min="4" max="6" width="11.5" customWidth="1"/>
    <col min="7" max="7" width="6.5" hidden="1" customWidth="1"/>
    <col min="8" max="8" width="9.83203125" hidden="1" customWidth="1"/>
    <col min="9" max="9" width="8.1640625" hidden="1" customWidth="1"/>
    <col min="10" max="10" width="8" hidden="1" customWidth="1"/>
    <col min="11" max="11" width="8.33203125" hidden="1" customWidth="1"/>
    <col min="12" max="12" width="8.6640625" hidden="1" customWidth="1"/>
    <col min="13" max="13" width="6.1640625" hidden="1" customWidth="1"/>
    <col min="14" max="14" width="6.6640625" hidden="1" customWidth="1"/>
    <col min="15" max="15" width="7.33203125" hidden="1" customWidth="1"/>
    <col min="16" max="16" width="12.83203125" hidden="1" customWidth="1"/>
    <col min="17" max="17" width="6.33203125" hidden="1" customWidth="1"/>
    <col min="18" max="18" width="0" hidden="1" customWidth="1"/>
    <col min="19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45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61" t="s">
        <v>1</v>
      </c>
      <c r="E4" s="61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9" t="s">
        <v>32</v>
      </c>
      <c r="E5" s="39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5" t="s">
        <v>8</v>
      </c>
      <c r="C6" s="18"/>
      <c r="D6" s="26"/>
      <c r="E6" s="22"/>
      <c r="F6" s="14">
        <f>IF(P6&lt;0,0,IF(E6=0,0,ROUNDDOWN(P6,0)))</f>
        <v>0</v>
      </c>
      <c r="H6" s="5">
        <v>7.95</v>
      </c>
      <c r="I6" s="5">
        <v>2.7</v>
      </c>
      <c r="J6" s="5"/>
      <c r="M6">
        <f t="shared" ref="M6:M11" si="0">E6*100</f>
        <v>0</v>
      </c>
      <c r="N6">
        <f t="shared" ref="N6:N11" si="1">H6*100</f>
        <v>795</v>
      </c>
      <c r="O6">
        <f t="shared" ref="O6:O19" si="2">N6-M6</f>
        <v>795</v>
      </c>
      <c r="P6" s="6">
        <f t="shared" ref="P6:P19" si="3">1000+O6*I6</f>
        <v>3146.5</v>
      </c>
    </row>
    <row r="7" spans="1:17" x14ac:dyDescent="0.15">
      <c r="B7" s="16" t="s">
        <v>69</v>
      </c>
      <c r="C7" s="19"/>
      <c r="D7" s="27"/>
      <c r="E7" s="21"/>
      <c r="F7" s="14">
        <f>IF(P7&lt;0,0,IF(E7=0,0,ROUNDDOWN(P7,0)))</f>
        <v>0</v>
      </c>
      <c r="H7" s="5">
        <v>10.15</v>
      </c>
      <c r="I7" s="5">
        <v>2.1</v>
      </c>
      <c r="J7" s="5"/>
      <c r="M7">
        <f t="shared" si="0"/>
        <v>0</v>
      </c>
      <c r="N7">
        <f t="shared" si="1"/>
        <v>1015</v>
      </c>
      <c r="O7">
        <f>N7-M7</f>
        <v>1015</v>
      </c>
      <c r="P7" s="6">
        <f>1000+O7*I7</f>
        <v>3131.5</v>
      </c>
    </row>
    <row r="8" spans="1:17" x14ac:dyDescent="0.15">
      <c r="B8" s="16" t="s">
        <v>13</v>
      </c>
      <c r="C8" s="19"/>
      <c r="D8" s="27"/>
      <c r="E8" s="21"/>
      <c r="F8" s="14">
        <f t="shared" ref="F8:F42" si="4">IF(P8&lt;0,0,IF(E8=0,0,ROUNDDOWN(P8,0)))</f>
        <v>0</v>
      </c>
      <c r="H8" s="5">
        <v>12.5</v>
      </c>
      <c r="I8" s="5">
        <v>1.6</v>
      </c>
      <c r="J8" s="5"/>
      <c r="M8">
        <f t="shared" si="0"/>
        <v>0</v>
      </c>
      <c r="N8">
        <f t="shared" si="1"/>
        <v>1250</v>
      </c>
      <c r="O8">
        <f t="shared" si="2"/>
        <v>1250</v>
      </c>
      <c r="P8" s="6">
        <f t="shared" si="3"/>
        <v>3000</v>
      </c>
    </row>
    <row r="9" spans="1:17" x14ac:dyDescent="0.15">
      <c r="B9" s="16" t="s">
        <v>14</v>
      </c>
      <c r="C9" s="19"/>
      <c r="D9" s="27"/>
      <c r="E9" s="21"/>
      <c r="F9" s="14">
        <f t="shared" si="4"/>
        <v>0</v>
      </c>
      <c r="H9" s="5">
        <v>25.7</v>
      </c>
      <c r="I9" s="5">
        <v>0.78</v>
      </c>
      <c r="J9" s="5"/>
      <c r="M9">
        <f t="shared" si="0"/>
        <v>0</v>
      </c>
      <c r="N9">
        <f t="shared" si="1"/>
        <v>2570</v>
      </c>
      <c r="O9">
        <f t="shared" si="2"/>
        <v>2570</v>
      </c>
      <c r="P9" s="6">
        <f t="shared" si="3"/>
        <v>3004.6000000000004</v>
      </c>
    </row>
    <row r="10" spans="1:17" x14ac:dyDescent="0.15">
      <c r="B10" s="16" t="s">
        <v>15</v>
      </c>
      <c r="C10" s="19"/>
      <c r="D10" s="27"/>
      <c r="E10" s="21"/>
      <c r="F10" s="14">
        <f t="shared" si="4"/>
        <v>0</v>
      </c>
      <c r="H10" s="5">
        <v>40.799999999999997</v>
      </c>
      <c r="I10" s="5">
        <v>0.5</v>
      </c>
      <c r="J10" s="5"/>
      <c r="M10">
        <f t="shared" si="0"/>
        <v>0</v>
      </c>
      <c r="N10">
        <f t="shared" si="1"/>
        <v>4079.9999999999995</v>
      </c>
      <c r="O10">
        <f t="shared" si="2"/>
        <v>4079.9999999999995</v>
      </c>
      <c r="P10" s="6">
        <f t="shared" si="3"/>
        <v>3040</v>
      </c>
    </row>
    <row r="11" spans="1:17" x14ac:dyDescent="0.15">
      <c r="B11" s="15" t="s">
        <v>16</v>
      </c>
      <c r="C11" s="19"/>
      <c r="D11" s="30"/>
      <c r="E11" s="22"/>
      <c r="F11" s="14">
        <f t="shared" si="4"/>
        <v>0</v>
      </c>
      <c r="H11" s="5">
        <v>57.5</v>
      </c>
      <c r="I11" s="5">
        <v>0.38</v>
      </c>
      <c r="J11" s="5"/>
      <c r="M11">
        <f t="shared" si="0"/>
        <v>0</v>
      </c>
      <c r="N11">
        <f t="shared" si="1"/>
        <v>5750</v>
      </c>
      <c r="O11">
        <f t="shared" si="2"/>
        <v>5750</v>
      </c>
      <c r="P11" s="6">
        <f t="shared" si="3"/>
        <v>3185</v>
      </c>
    </row>
    <row r="12" spans="1:17" x14ac:dyDescent="0.15">
      <c r="B12" s="15" t="s">
        <v>9</v>
      </c>
      <c r="C12" s="19"/>
      <c r="D12" s="24"/>
      <c r="E12" s="22"/>
      <c r="F12" s="14">
        <f t="shared" ref="F12:F25" si="5">IF(P12&lt;0,0,IF(AND(E12=0,D12=0),0,ROUNDDOWN(P12,0)))</f>
        <v>0</v>
      </c>
      <c r="H12" s="5">
        <v>95</v>
      </c>
      <c r="I12" s="5">
        <v>2.4</v>
      </c>
      <c r="J12" s="5"/>
      <c r="M12">
        <f>(D12*60+E12)*10</f>
        <v>0</v>
      </c>
      <c r="N12">
        <f>H12*10</f>
        <v>950</v>
      </c>
      <c r="O12">
        <f t="shared" si="2"/>
        <v>950</v>
      </c>
      <c r="P12" s="6">
        <f t="shared" si="3"/>
        <v>3280</v>
      </c>
    </row>
    <row r="13" spans="1:17" x14ac:dyDescent="0.15">
      <c r="B13" s="15" t="s">
        <v>20</v>
      </c>
      <c r="C13" s="19"/>
      <c r="D13" s="24"/>
      <c r="E13" s="22"/>
      <c r="F13" s="14">
        <f t="shared" si="5"/>
        <v>0</v>
      </c>
      <c r="H13" s="5">
        <v>133</v>
      </c>
      <c r="I13" s="5">
        <v>1.5</v>
      </c>
      <c r="J13" s="5"/>
      <c r="M13">
        <f t="shared" ref="M13:M19" si="6">(D13*60+E13)*10</f>
        <v>0</v>
      </c>
      <c r="N13">
        <f t="shared" ref="N13:N19" si="7">H13*10</f>
        <v>1330</v>
      </c>
      <c r="O13">
        <f t="shared" si="2"/>
        <v>1330</v>
      </c>
      <c r="P13" s="6">
        <f t="shared" si="3"/>
        <v>2995</v>
      </c>
    </row>
    <row r="14" spans="1:17" x14ac:dyDescent="0.15">
      <c r="B14" s="15" t="s">
        <v>17</v>
      </c>
      <c r="C14" s="19"/>
      <c r="D14" s="24"/>
      <c r="E14" s="22"/>
      <c r="F14" s="14">
        <f t="shared" si="5"/>
        <v>0</v>
      </c>
      <c r="H14" s="5">
        <v>180</v>
      </c>
      <c r="I14" s="5">
        <v>1</v>
      </c>
      <c r="J14" s="5"/>
      <c r="M14">
        <f t="shared" si="6"/>
        <v>0</v>
      </c>
      <c r="N14">
        <f t="shared" si="7"/>
        <v>1800</v>
      </c>
      <c r="O14">
        <f t="shared" si="2"/>
        <v>1800</v>
      </c>
      <c r="P14" s="6">
        <f t="shared" si="3"/>
        <v>2800</v>
      </c>
    </row>
    <row r="15" spans="1:17" x14ac:dyDescent="0.15">
      <c r="B15" s="15" t="s">
        <v>18</v>
      </c>
      <c r="C15" s="19"/>
      <c r="D15" s="24"/>
      <c r="E15" s="22"/>
      <c r="F15" s="14">
        <f t="shared" si="5"/>
        <v>0</v>
      </c>
      <c r="H15" s="5">
        <v>277</v>
      </c>
      <c r="I15" s="5">
        <v>0.6</v>
      </c>
      <c r="J15" s="5"/>
      <c r="M15">
        <f t="shared" si="6"/>
        <v>0</v>
      </c>
      <c r="N15">
        <f t="shared" si="7"/>
        <v>2770</v>
      </c>
      <c r="O15">
        <f t="shared" si="2"/>
        <v>2770</v>
      </c>
      <c r="P15" s="6">
        <f t="shared" si="3"/>
        <v>2662</v>
      </c>
    </row>
    <row r="16" spans="1:17" x14ac:dyDescent="0.15">
      <c r="B16" s="15" t="s">
        <v>19</v>
      </c>
      <c r="C16" s="19"/>
      <c r="D16" s="24"/>
      <c r="E16" s="22"/>
      <c r="F16" s="14">
        <f t="shared" si="5"/>
        <v>0</v>
      </c>
      <c r="H16" s="5">
        <v>389</v>
      </c>
      <c r="I16" s="5">
        <v>0.4</v>
      </c>
      <c r="J16" s="5"/>
      <c r="M16">
        <f t="shared" si="6"/>
        <v>0</v>
      </c>
      <c r="N16">
        <f t="shared" si="7"/>
        <v>3890</v>
      </c>
      <c r="O16">
        <f t="shared" si="2"/>
        <v>3890</v>
      </c>
      <c r="P16" s="6">
        <f t="shared" si="3"/>
        <v>2556</v>
      </c>
    </row>
    <row r="17" spans="2:17" x14ac:dyDescent="0.15">
      <c r="B17" s="15" t="s">
        <v>21</v>
      </c>
      <c r="C17" s="19"/>
      <c r="D17" s="24"/>
      <c r="E17" s="22"/>
      <c r="F17" s="14">
        <f t="shared" si="5"/>
        <v>0</v>
      </c>
      <c r="H17" s="5">
        <v>607</v>
      </c>
      <c r="I17" s="5">
        <v>0.23</v>
      </c>
      <c r="J17" s="5"/>
      <c r="M17">
        <f t="shared" si="6"/>
        <v>0</v>
      </c>
      <c r="N17">
        <f t="shared" si="7"/>
        <v>6070</v>
      </c>
      <c r="O17">
        <f t="shared" si="2"/>
        <v>6070</v>
      </c>
      <c r="P17" s="6">
        <f t="shared" si="3"/>
        <v>2396.1000000000004</v>
      </c>
    </row>
    <row r="18" spans="2:17" x14ac:dyDescent="0.15">
      <c r="B18" s="15" t="s">
        <v>22</v>
      </c>
      <c r="C18" s="19"/>
      <c r="D18" s="24"/>
      <c r="E18" s="22"/>
      <c r="F18" s="14">
        <f t="shared" si="5"/>
        <v>0</v>
      </c>
      <c r="H18" s="5">
        <v>1065</v>
      </c>
      <c r="I18" s="5">
        <v>0.13</v>
      </c>
      <c r="J18" s="5"/>
      <c r="M18">
        <f t="shared" si="6"/>
        <v>0</v>
      </c>
      <c r="N18">
        <f t="shared" si="7"/>
        <v>10650</v>
      </c>
      <c r="O18">
        <f t="shared" si="2"/>
        <v>10650</v>
      </c>
      <c r="P18" s="6">
        <f t="shared" si="3"/>
        <v>2384.5</v>
      </c>
    </row>
    <row r="19" spans="2:17" x14ac:dyDescent="0.15">
      <c r="B19" s="15" t="s">
        <v>23</v>
      </c>
      <c r="C19" s="20"/>
      <c r="D19" s="24"/>
      <c r="E19" s="22"/>
      <c r="F19" s="14">
        <f t="shared" si="5"/>
        <v>0</v>
      </c>
      <c r="H19" s="5">
        <v>2310</v>
      </c>
      <c r="I19" s="5">
        <v>0.06</v>
      </c>
      <c r="J19" s="5"/>
      <c r="M19">
        <f t="shared" si="6"/>
        <v>0</v>
      </c>
      <c r="N19">
        <f t="shared" si="7"/>
        <v>23100</v>
      </c>
      <c r="O19">
        <f t="shared" si="2"/>
        <v>23100</v>
      </c>
      <c r="P19" s="6">
        <f t="shared" si="3"/>
        <v>2386</v>
      </c>
    </row>
    <row r="20" spans="2:17" x14ac:dyDescent="0.15">
      <c r="B20" s="16" t="s">
        <v>17</v>
      </c>
      <c r="C20" s="48" t="s">
        <v>137</v>
      </c>
      <c r="D20" s="24"/>
      <c r="E20" s="21"/>
      <c r="F20" s="14">
        <f t="shared" si="5"/>
        <v>0</v>
      </c>
      <c r="H20" s="5">
        <v>268</v>
      </c>
      <c r="I20" s="5">
        <v>0.7</v>
      </c>
      <c r="J20" s="5"/>
      <c r="M20">
        <f t="shared" ref="M20:M25" si="8">(D20*60+E20)*10</f>
        <v>0</v>
      </c>
      <c r="N20">
        <f t="shared" ref="N20:N25" si="9">H20*10</f>
        <v>2680</v>
      </c>
      <c r="O20">
        <f t="shared" ref="O20:O25" si="10">N20-M20</f>
        <v>2680</v>
      </c>
      <c r="P20" s="6">
        <f t="shared" ref="P20:P25" si="11">1000+O20*I20</f>
        <v>2876</v>
      </c>
    </row>
    <row r="21" spans="2:17" x14ac:dyDescent="0.15">
      <c r="B21" s="16" t="s">
        <v>19</v>
      </c>
      <c r="C21" s="48" t="s">
        <v>137</v>
      </c>
      <c r="D21" s="24"/>
      <c r="E21" s="21"/>
      <c r="F21" s="14">
        <f t="shared" si="5"/>
        <v>0</v>
      </c>
      <c r="H21" s="5">
        <v>574</v>
      </c>
      <c r="I21" s="5">
        <v>0.3</v>
      </c>
      <c r="J21" s="5"/>
      <c r="M21">
        <f t="shared" si="8"/>
        <v>0</v>
      </c>
      <c r="N21">
        <f t="shared" si="9"/>
        <v>5740</v>
      </c>
      <c r="O21">
        <f t="shared" si="10"/>
        <v>5740</v>
      </c>
      <c r="P21" s="6">
        <f t="shared" si="11"/>
        <v>2722</v>
      </c>
    </row>
    <row r="22" spans="2:17" x14ac:dyDescent="0.15">
      <c r="B22" s="16" t="s">
        <v>21</v>
      </c>
      <c r="C22" s="48" t="s">
        <v>137</v>
      </c>
      <c r="D22" s="24"/>
      <c r="E22" s="21"/>
      <c r="F22" s="14">
        <f t="shared" si="5"/>
        <v>0</v>
      </c>
      <c r="H22" s="5">
        <v>900</v>
      </c>
      <c r="I22" s="5">
        <v>0.18</v>
      </c>
      <c r="J22" s="5"/>
      <c r="M22">
        <f t="shared" si="8"/>
        <v>0</v>
      </c>
      <c r="N22">
        <f t="shared" si="9"/>
        <v>9000</v>
      </c>
      <c r="O22">
        <f t="shared" si="10"/>
        <v>9000</v>
      </c>
      <c r="P22" s="6">
        <f t="shared" si="11"/>
        <v>2620</v>
      </c>
    </row>
    <row r="23" spans="2:17" x14ac:dyDescent="0.15">
      <c r="B23" s="16" t="s">
        <v>22</v>
      </c>
      <c r="C23" s="48" t="s">
        <v>137</v>
      </c>
      <c r="D23" s="24"/>
      <c r="E23" s="21"/>
      <c r="F23" s="14">
        <f t="shared" si="5"/>
        <v>0</v>
      </c>
      <c r="H23" s="5">
        <v>1538</v>
      </c>
      <c r="I23" s="5">
        <v>0.1</v>
      </c>
      <c r="J23" s="5"/>
      <c r="M23">
        <f t="shared" si="8"/>
        <v>0</v>
      </c>
      <c r="N23">
        <f t="shared" si="9"/>
        <v>15380</v>
      </c>
      <c r="O23">
        <f t="shared" si="10"/>
        <v>15380</v>
      </c>
      <c r="P23" s="6">
        <f t="shared" si="11"/>
        <v>2538</v>
      </c>
    </row>
    <row r="24" spans="2:17" x14ac:dyDescent="0.15">
      <c r="B24" s="16" t="s">
        <v>23</v>
      </c>
      <c r="C24" s="48" t="s">
        <v>137</v>
      </c>
      <c r="D24" s="24"/>
      <c r="E24" s="21"/>
      <c r="F24" s="14">
        <f t="shared" si="5"/>
        <v>0</v>
      </c>
      <c r="H24" s="5">
        <v>3330</v>
      </c>
      <c r="I24" s="5">
        <v>0.05</v>
      </c>
      <c r="J24" s="5"/>
      <c r="M24">
        <f t="shared" si="8"/>
        <v>0</v>
      </c>
      <c r="N24">
        <f t="shared" si="9"/>
        <v>33300</v>
      </c>
      <c r="O24">
        <f t="shared" si="10"/>
        <v>33300</v>
      </c>
      <c r="P24" s="6">
        <f t="shared" si="11"/>
        <v>2665</v>
      </c>
    </row>
    <row r="25" spans="2:17" x14ac:dyDescent="0.15">
      <c r="B25" s="16" t="s">
        <v>138</v>
      </c>
      <c r="C25" s="48" t="s">
        <v>137</v>
      </c>
      <c r="D25" s="25"/>
      <c r="E25" s="21"/>
      <c r="F25" s="14">
        <f t="shared" si="5"/>
        <v>0</v>
      </c>
      <c r="H25" s="5">
        <v>6810</v>
      </c>
      <c r="I25" s="5">
        <v>0.02</v>
      </c>
      <c r="J25" s="5"/>
      <c r="M25">
        <f t="shared" si="8"/>
        <v>0</v>
      </c>
      <c r="N25">
        <f t="shared" si="9"/>
        <v>68100</v>
      </c>
      <c r="O25">
        <f t="shared" si="10"/>
        <v>68100</v>
      </c>
      <c r="P25" s="6">
        <f t="shared" si="11"/>
        <v>2362</v>
      </c>
    </row>
    <row r="26" spans="2:17" x14ac:dyDescent="0.15">
      <c r="B26" s="16" t="s">
        <v>113</v>
      </c>
      <c r="C26" s="31" t="s">
        <v>119</v>
      </c>
      <c r="D26" s="26"/>
      <c r="E26" s="21"/>
      <c r="F26" s="14">
        <f t="shared" si="4"/>
        <v>0</v>
      </c>
      <c r="H26" s="5">
        <v>14.9</v>
      </c>
      <c r="I26" s="5">
        <v>1</v>
      </c>
      <c r="J26" s="5"/>
      <c r="M26">
        <f>E26*100</f>
        <v>0</v>
      </c>
      <c r="N26">
        <f>H26*100</f>
        <v>1490</v>
      </c>
      <c r="O26">
        <f t="shared" ref="O26:O31" si="12">N26-M26</f>
        <v>1490</v>
      </c>
      <c r="P26" s="6">
        <f t="shared" ref="P26:P31" si="13">1000+O26*I26</f>
        <v>2490</v>
      </c>
    </row>
    <row r="27" spans="2:17" x14ac:dyDescent="0.15">
      <c r="B27" s="16" t="s">
        <v>81</v>
      </c>
      <c r="C27" s="31" t="s">
        <v>98</v>
      </c>
      <c r="D27" s="27"/>
      <c r="E27" s="21"/>
      <c r="F27" s="14">
        <f t="shared" si="4"/>
        <v>0</v>
      </c>
      <c r="H27" s="5">
        <v>29.7</v>
      </c>
      <c r="I27" s="5">
        <v>0.5</v>
      </c>
      <c r="J27" s="5"/>
      <c r="M27">
        <f>E27*100</f>
        <v>0</v>
      </c>
      <c r="N27">
        <f>H27*100</f>
        <v>2970</v>
      </c>
      <c r="O27">
        <f t="shared" si="12"/>
        <v>2970</v>
      </c>
      <c r="P27" s="6">
        <f t="shared" si="13"/>
        <v>2485</v>
      </c>
    </row>
    <row r="28" spans="2:17" x14ac:dyDescent="0.15">
      <c r="B28" s="16" t="s">
        <v>102</v>
      </c>
      <c r="C28" s="31" t="s">
        <v>103</v>
      </c>
      <c r="D28" s="27"/>
      <c r="E28" s="21"/>
      <c r="F28" s="14">
        <f t="shared" si="4"/>
        <v>0</v>
      </c>
      <c r="H28" s="5">
        <v>45.5</v>
      </c>
      <c r="I28" s="5">
        <v>0.4</v>
      </c>
      <c r="J28" s="5"/>
      <c r="M28">
        <f>E28*100</f>
        <v>0</v>
      </c>
      <c r="N28">
        <f>H28*100</f>
        <v>4550</v>
      </c>
      <c r="O28">
        <f t="shared" si="12"/>
        <v>4550</v>
      </c>
      <c r="P28" s="6">
        <f t="shared" si="13"/>
        <v>2820</v>
      </c>
    </row>
    <row r="29" spans="2:17" x14ac:dyDescent="0.15">
      <c r="B29" s="16" t="s">
        <v>117</v>
      </c>
      <c r="C29" s="31" t="s">
        <v>103</v>
      </c>
      <c r="D29" s="30"/>
      <c r="E29" s="21"/>
      <c r="F29" s="14">
        <f t="shared" si="4"/>
        <v>0</v>
      </c>
      <c r="H29" s="5">
        <v>63.1</v>
      </c>
      <c r="I29" s="5">
        <v>0.3</v>
      </c>
      <c r="J29" s="5"/>
      <c r="M29">
        <f>E29*100</f>
        <v>0</v>
      </c>
      <c r="N29">
        <f>H29*100</f>
        <v>6310</v>
      </c>
      <c r="O29">
        <f t="shared" si="12"/>
        <v>6310</v>
      </c>
      <c r="P29" s="6">
        <f t="shared" si="13"/>
        <v>2893</v>
      </c>
    </row>
    <row r="30" spans="2:17" x14ac:dyDescent="0.15">
      <c r="B30" s="16" t="s">
        <v>25</v>
      </c>
      <c r="C30" s="31" t="s">
        <v>112</v>
      </c>
      <c r="D30" s="24"/>
      <c r="E30" s="22"/>
      <c r="F30" s="14">
        <f>IF(P30&lt;0,0,IF(AND(E30=0,D30=0),0,ROUNDDOWN(P30,0)))</f>
        <v>0</v>
      </c>
      <c r="H30" s="5">
        <v>420</v>
      </c>
      <c r="I30" s="5">
        <v>0.35</v>
      </c>
      <c r="J30" s="5"/>
      <c r="M30">
        <f>(D30*60+E30)*10</f>
        <v>0</v>
      </c>
      <c r="N30">
        <f>H30*10</f>
        <v>4200</v>
      </c>
      <c r="O30">
        <f t="shared" si="12"/>
        <v>4200</v>
      </c>
      <c r="P30" s="6">
        <f t="shared" si="13"/>
        <v>2470</v>
      </c>
    </row>
    <row r="31" spans="2:17" x14ac:dyDescent="0.15">
      <c r="B31" s="16" t="s">
        <v>26</v>
      </c>
      <c r="C31" s="31" t="s">
        <v>112</v>
      </c>
      <c r="D31" s="24"/>
      <c r="E31" s="22"/>
      <c r="F31" s="14">
        <f>IF(P31&lt;0,0,IF(AND(E31=0,D31=0),0,ROUNDDOWN(P31,0)))</f>
        <v>0</v>
      </c>
      <c r="H31" s="5">
        <v>670</v>
      </c>
      <c r="I31" s="5">
        <v>0.2</v>
      </c>
      <c r="J31" s="5"/>
      <c r="M31">
        <f>(D31*60+E31)*10</f>
        <v>0</v>
      </c>
      <c r="N31">
        <f>H31*10</f>
        <v>6700</v>
      </c>
      <c r="O31">
        <f t="shared" si="12"/>
        <v>6700</v>
      </c>
      <c r="P31" s="6">
        <f t="shared" si="13"/>
        <v>2340</v>
      </c>
    </row>
    <row r="32" spans="2:17" ht="16" x14ac:dyDescent="0.2">
      <c r="B32" s="7"/>
      <c r="C32" s="7"/>
      <c r="D32" s="7"/>
      <c r="E32" s="39" t="s">
        <v>34</v>
      </c>
      <c r="F32" s="4"/>
      <c r="G32" s="4"/>
      <c r="H32" s="8"/>
      <c r="I32" s="8"/>
      <c r="J32" s="8"/>
      <c r="K32" s="4"/>
      <c r="L32" s="4"/>
      <c r="M32" s="4"/>
      <c r="N32" s="4"/>
      <c r="O32" s="4"/>
      <c r="P32" s="4"/>
      <c r="Q32" s="4"/>
    </row>
    <row r="33" spans="2:17" x14ac:dyDescent="0.15">
      <c r="B33" s="16" t="s">
        <v>10</v>
      </c>
      <c r="C33" s="18"/>
      <c r="D33" s="26"/>
      <c r="E33" s="21"/>
      <c r="F33" s="14">
        <f t="shared" si="4"/>
        <v>0</v>
      </c>
      <c r="H33" s="5">
        <v>1.68</v>
      </c>
      <c r="I33" s="5">
        <v>7.5</v>
      </c>
      <c r="J33" s="5"/>
      <c r="M33">
        <f t="shared" ref="M33:M42" si="14">E33*100</f>
        <v>0</v>
      </c>
      <c r="N33">
        <f t="shared" ref="N33:N42" si="15">H33*100</f>
        <v>168</v>
      </c>
      <c r="O33">
        <f t="shared" ref="O33:O42" si="16">N33-M33</f>
        <v>168</v>
      </c>
      <c r="P33" s="6">
        <f t="shared" ref="P33:P38" si="17">1000-O33*I33</f>
        <v>-260</v>
      </c>
    </row>
    <row r="34" spans="2:17" x14ac:dyDescent="0.15">
      <c r="B34" s="16" t="s">
        <v>27</v>
      </c>
      <c r="C34" s="19"/>
      <c r="D34" s="27"/>
      <c r="E34" s="21"/>
      <c r="F34" s="14">
        <f t="shared" si="4"/>
        <v>0</v>
      </c>
      <c r="H34" s="5">
        <v>1.37</v>
      </c>
      <c r="I34" s="5">
        <v>9.5</v>
      </c>
      <c r="J34" s="5"/>
      <c r="M34">
        <f t="shared" si="14"/>
        <v>0</v>
      </c>
      <c r="N34">
        <f t="shared" si="15"/>
        <v>137</v>
      </c>
      <c r="O34">
        <f t="shared" si="16"/>
        <v>137</v>
      </c>
      <c r="P34" s="6">
        <f t="shared" si="17"/>
        <v>-301.5</v>
      </c>
    </row>
    <row r="35" spans="2:17" x14ac:dyDescent="0.15">
      <c r="B35" s="16" t="s">
        <v>28</v>
      </c>
      <c r="C35" s="19"/>
      <c r="D35" s="27"/>
      <c r="E35" s="21"/>
      <c r="F35" s="14">
        <f t="shared" si="4"/>
        <v>0</v>
      </c>
      <c r="H35" s="5">
        <v>3.3</v>
      </c>
      <c r="I35" s="5">
        <f>IF(E35&lt;0.8*H35,L35,Q35)</f>
        <v>8</v>
      </c>
      <c r="J35" s="5">
        <v>2</v>
      </c>
      <c r="K35" s="5">
        <v>4</v>
      </c>
      <c r="L35" s="5">
        <v>8</v>
      </c>
      <c r="M35">
        <f t="shared" si="14"/>
        <v>0</v>
      </c>
      <c r="N35">
        <f t="shared" si="15"/>
        <v>330</v>
      </c>
      <c r="O35">
        <f t="shared" si="16"/>
        <v>330</v>
      </c>
      <c r="P35" s="6">
        <f>IF(E35&lt;0.8*H35,1000-((N35-0.8*N35)*K35+(O35-(N35-N35*0.8))*L35),1000-O35*I35)</f>
        <v>-1376</v>
      </c>
      <c r="Q35" s="5">
        <f>IF(E35&gt;H35,J35,K35)</f>
        <v>4</v>
      </c>
    </row>
    <row r="36" spans="2:17" x14ac:dyDescent="0.15">
      <c r="B36" s="16" t="s">
        <v>11</v>
      </c>
      <c r="C36" s="19"/>
      <c r="D36" s="27"/>
      <c r="E36" s="21"/>
      <c r="F36" s="14">
        <f t="shared" si="4"/>
        <v>0</v>
      </c>
      <c r="H36" s="5">
        <v>5.63</v>
      </c>
      <c r="I36" s="5">
        <v>2.1</v>
      </c>
      <c r="J36" s="5"/>
      <c r="M36">
        <f t="shared" si="14"/>
        <v>0</v>
      </c>
      <c r="N36">
        <f t="shared" si="15"/>
        <v>563</v>
      </c>
      <c r="O36">
        <f t="shared" si="16"/>
        <v>563</v>
      </c>
      <c r="P36" s="6">
        <f t="shared" si="17"/>
        <v>-182.29999999999995</v>
      </c>
    </row>
    <row r="37" spans="2:17" x14ac:dyDescent="0.15">
      <c r="B37" s="16" t="s">
        <v>29</v>
      </c>
      <c r="C37" s="19"/>
      <c r="D37" s="27"/>
      <c r="E37" s="21"/>
      <c r="F37" s="14">
        <f t="shared" si="4"/>
        <v>0</v>
      </c>
      <c r="H37" s="5">
        <v>2.64</v>
      </c>
      <c r="I37" s="5">
        <v>6</v>
      </c>
      <c r="J37" s="5"/>
      <c r="M37">
        <f t="shared" si="14"/>
        <v>0</v>
      </c>
      <c r="N37">
        <f t="shared" si="15"/>
        <v>264</v>
      </c>
      <c r="O37">
        <f t="shared" si="16"/>
        <v>264</v>
      </c>
      <c r="P37" s="6">
        <f t="shared" si="17"/>
        <v>-584</v>
      </c>
    </row>
    <row r="38" spans="2:17" x14ac:dyDescent="0.15">
      <c r="B38" s="16" t="s">
        <v>30</v>
      </c>
      <c r="C38" s="20"/>
      <c r="D38" s="27"/>
      <c r="E38" s="21"/>
      <c r="F38" s="14">
        <f t="shared" si="4"/>
        <v>0</v>
      </c>
      <c r="H38" s="5">
        <v>12.4</v>
      </c>
      <c r="I38" s="5">
        <v>1</v>
      </c>
      <c r="J38" s="5"/>
      <c r="M38">
        <f t="shared" si="14"/>
        <v>0</v>
      </c>
      <c r="N38">
        <f t="shared" si="15"/>
        <v>1240</v>
      </c>
      <c r="O38">
        <f t="shared" si="16"/>
        <v>1240</v>
      </c>
      <c r="P38" s="6">
        <f t="shared" si="17"/>
        <v>-240</v>
      </c>
    </row>
    <row r="39" spans="2:17" x14ac:dyDescent="0.15">
      <c r="B39" s="16" t="s">
        <v>86</v>
      </c>
      <c r="C39" s="31" t="s">
        <v>108</v>
      </c>
      <c r="D39" s="27"/>
      <c r="E39" s="21"/>
      <c r="F39" s="14">
        <f t="shared" si="4"/>
        <v>0</v>
      </c>
      <c r="H39" s="5">
        <v>11.4</v>
      </c>
      <c r="I39" s="5">
        <f>IF(E39&lt;0.8*H39,L39,Q39)</f>
        <v>1.2</v>
      </c>
      <c r="J39" s="5">
        <v>0.3</v>
      </c>
      <c r="K39" s="5">
        <v>0.6</v>
      </c>
      <c r="L39" s="5">
        <v>1.2</v>
      </c>
      <c r="M39">
        <f t="shared" si="14"/>
        <v>0</v>
      </c>
      <c r="N39">
        <f t="shared" si="15"/>
        <v>1140</v>
      </c>
      <c r="O39">
        <f t="shared" si="16"/>
        <v>1140</v>
      </c>
      <c r="P39" s="6">
        <f>IF(E39&lt;0.8*H39,1000-((N39-0.8*N39)*K39+(O39-(N39-N39*0.8))*L39),1000-O39*I39)</f>
        <v>-231.19999999999982</v>
      </c>
      <c r="Q39" s="5">
        <f>IF(E39&gt;H39,J39,K39)</f>
        <v>0.6</v>
      </c>
    </row>
    <row r="40" spans="2:17" x14ac:dyDescent="0.15">
      <c r="B40" s="16" t="s">
        <v>87</v>
      </c>
      <c r="C40" s="31" t="s">
        <v>109</v>
      </c>
      <c r="D40" s="27"/>
      <c r="E40" s="21"/>
      <c r="F40" s="14">
        <f t="shared" si="4"/>
        <v>0</v>
      </c>
      <c r="H40" s="5">
        <v>42</v>
      </c>
      <c r="I40" s="5">
        <f>IF(E40&lt;0.8*H40,L40,Q40)</f>
        <v>0.6</v>
      </c>
      <c r="J40" s="5">
        <v>0.15</v>
      </c>
      <c r="K40" s="5">
        <v>0.3</v>
      </c>
      <c r="L40" s="5">
        <v>0.6</v>
      </c>
      <c r="M40">
        <f t="shared" si="14"/>
        <v>0</v>
      </c>
      <c r="N40">
        <f t="shared" si="15"/>
        <v>4200</v>
      </c>
      <c r="O40">
        <f t="shared" si="16"/>
        <v>4200</v>
      </c>
      <c r="P40" s="6">
        <f>IF(E40&lt;0.8*H40,1000-((N40-0.8*N40)*K40+(O40-(N40-N40*0.8))*L40),1000-O40*I40)</f>
        <v>-1268</v>
      </c>
      <c r="Q40" s="5">
        <f>IF(E40&gt;H40,J40,K40)</f>
        <v>0.3</v>
      </c>
    </row>
    <row r="41" spans="2:17" x14ac:dyDescent="0.15">
      <c r="B41" s="16" t="s">
        <v>88</v>
      </c>
      <c r="C41" s="31" t="s">
        <v>110</v>
      </c>
      <c r="D41" s="27"/>
      <c r="E41" s="21"/>
      <c r="F41" s="14">
        <f t="shared" si="4"/>
        <v>0</v>
      </c>
      <c r="H41" s="5">
        <v>46</v>
      </c>
      <c r="I41" s="5">
        <f>IF(E41&lt;0.8*H41,L41,Q41)</f>
        <v>0.5</v>
      </c>
      <c r="J41" s="5">
        <v>0.12</v>
      </c>
      <c r="K41" s="5">
        <v>0.25</v>
      </c>
      <c r="L41" s="5">
        <v>0.5</v>
      </c>
      <c r="M41">
        <f t="shared" si="14"/>
        <v>0</v>
      </c>
      <c r="N41">
        <f t="shared" si="15"/>
        <v>4600</v>
      </c>
      <c r="O41">
        <f t="shared" si="16"/>
        <v>4600</v>
      </c>
      <c r="P41" s="6">
        <f>IF(E41&lt;0.8*H41,1000-((N41-0.8*N41)*K41+(O41-(N41-N41*0.8))*L41),1000-O41*I41)</f>
        <v>-1070</v>
      </c>
      <c r="Q41" s="5">
        <f>IF(E41&gt;H41,J41,K41)</f>
        <v>0.25</v>
      </c>
    </row>
    <row r="42" spans="2:17" x14ac:dyDescent="0.15">
      <c r="B42" s="16" t="s">
        <v>89</v>
      </c>
      <c r="C42" s="31" t="s">
        <v>95</v>
      </c>
      <c r="D42" s="30"/>
      <c r="E42" s="21"/>
      <c r="F42" s="14">
        <f t="shared" si="4"/>
        <v>0</v>
      </c>
      <c r="H42" s="5">
        <v>42</v>
      </c>
      <c r="I42" s="5">
        <f>IF(E42&lt;0.8*H42,L42,Q42)</f>
        <v>0.5</v>
      </c>
      <c r="J42" s="5">
        <v>0.13</v>
      </c>
      <c r="K42" s="5">
        <v>0.25</v>
      </c>
      <c r="L42" s="5">
        <v>0.5</v>
      </c>
      <c r="M42">
        <f t="shared" si="14"/>
        <v>0</v>
      </c>
      <c r="N42">
        <f t="shared" si="15"/>
        <v>4200</v>
      </c>
      <c r="O42">
        <f t="shared" si="16"/>
        <v>4200</v>
      </c>
      <c r="P42" s="6">
        <f>IF(E42&lt;0.8*H42,1000-((N42-0.8*N42)*K42+(O42-(N42-N42*0.8))*L42),1000-O42*I42)</f>
        <v>-890</v>
      </c>
      <c r="Q42" s="5">
        <f>IF(E42&gt;H42,J42,K42)</f>
        <v>0.25</v>
      </c>
    </row>
    <row r="44" spans="2:17" x14ac:dyDescent="0.15">
      <c r="B44" s="60" t="s">
        <v>47</v>
      </c>
      <c r="C44" s="60"/>
      <c r="D44" s="60"/>
      <c r="E44" s="60"/>
      <c r="F44" s="60"/>
    </row>
    <row r="45" spans="2:17" x14ac:dyDescent="0.15">
      <c r="B45" s="60" t="s">
        <v>36</v>
      </c>
      <c r="C45" s="60"/>
      <c r="D45" s="60"/>
      <c r="E45" s="60"/>
      <c r="F45" s="60"/>
    </row>
    <row r="46" spans="2:17" x14ac:dyDescent="0.15">
      <c r="B46" s="60" t="s">
        <v>35</v>
      </c>
      <c r="C46" s="60"/>
      <c r="D46" s="60"/>
      <c r="E46" s="60"/>
      <c r="F46" s="60"/>
    </row>
    <row r="48" spans="2:17" ht="16" x14ac:dyDescent="0.2">
      <c r="B48" s="58" t="s">
        <v>146</v>
      </c>
      <c r="C48" s="59"/>
      <c r="D48" s="59"/>
      <c r="E48" s="59"/>
      <c r="F48" s="59"/>
    </row>
  </sheetData>
  <sheetProtection password="CCED" sheet="1" objects="1" scenarios="1" selectLockedCells="1"/>
  <mergeCells count="6">
    <mergeCell ref="D4:E4"/>
    <mergeCell ref="B4:C4"/>
    <mergeCell ref="B48:F48"/>
    <mergeCell ref="B44:F44"/>
    <mergeCell ref="B45:F45"/>
    <mergeCell ref="B46:F46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2"/>
  </sheetPr>
  <dimension ref="A1:Q47"/>
  <sheetViews>
    <sheetView showGridLines="0" showRowColHeaders="0" showOutlineSymbols="0" topLeftCell="B1" workbookViewId="0">
      <selection activeCell="E9" sqref="E9"/>
    </sheetView>
  </sheetViews>
  <sheetFormatPr baseColWidth="10" defaultColWidth="8.83203125" defaultRowHeight="13" x14ac:dyDescent="0.15"/>
  <cols>
    <col min="1" max="1" width="11.5" customWidth="1"/>
    <col min="2" max="2" width="16" customWidth="1"/>
    <col min="3" max="3" width="14.5" customWidth="1"/>
    <col min="4" max="6" width="11.5" customWidth="1"/>
    <col min="7" max="7" width="5.1640625" customWidth="1"/>
    <col min="8" max="12" width="11.5" hidden="1" customWidth="1"/>
    <col min="13" max="13" width="6" hidden="1" customWidth="1"/>
    <col min="14" max="14" width="6.6640625" hidden="1" customWidth="1"/>
    <col min="15" max="15" width="7.33203125" hidden="1" customWidth="1"/>
    <col min="16" max="16" width="12.33203125" hidden="1" customWidth="1"/>
    <col min="17" max="17" width="7.332031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61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56" t="s">
        <v>1</v>
      </c>
      <c r="E4" s="57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7" t="s">
        <v>32</v>
      </c>
      <c r="E5" s="38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6" t="s">
        <v>8</v>
      </c>
      <c r="C6" s="18"/>
      <c r="D6" s="26"/>
      <c r="E6" s="21"/>
      <c r="F6" s="14">
        <f t="shared" ref="F6:F11" si="0">IF(P6&lt;0,0,IF(E6=0,0,ROUNDDOWN(P6,0)))</f>
        <v>0</v>
      </c>
      <c r="H6" s="5">
        <v>7.3</v>
      </c>
      <c r="I6" s="5">
        <v>2.7</v>
      </c>
      <c r="J6" s="5"/>
      <c r="M6">
        <f t="shared" ref="M6:M11" si="1">E6*100</f>
        <v>0</v>
      </c>
      <c r="N6">
        <f t="shared" ref="N6:N11" si="2">H6*100</f>
        <v>730</v>
      </c>
      <c r="O6">
        <f t="shared" ref="O6:O18" si="3">N6-M6</f>
        <v>730</v>
      </c>
      <c r="P6" s="6">
        <f t="shared" ref="P6:P18" si="4">1000+O6*I6</f>
        <v>2971</v>
      </c>
    </row>
    <row r="7" spans="1:17" x14ac:dyDescent="0.15">
      <c r="B7" s="16" t="s">
        <v>69</v>
      </c>
      <c r="C7" s="19"/>
      <c r="D7" s="27"/>
      <c r="E7" s="21">
        <v>9.91</v>
      </c>
      <c r="F7" s="14">
        <f t="shared" si="0"/>
        <v>898</v>
      </c>
      <c r="H7" s="5">
        <v>9.4499999999999993</v>
      </c>
      <c r="I7" s="5">
        <v>2.2000000000000002</v>
      </c>
      <c r="J7" s="5"/>
      <c r="M7">
        <f t="shared" si="1"/>
        <v>991</v>
      </c>
      <c r="N7">
        <f t="shared" si="2"/>
        <v>944.99999999999989</v>
      </c>
      <c r="O7">
        <f t="shared" si="3"/>
        <v>-46.000000000000114</v>
      </c>
      <c r="P7" s="6">
        <f t="shared" si="4"/>
        <v>898.79999999999973</v>
      </c>
    </row>
    <row r="8" spans="1:17" x14ac:dyDescent="0.15">
      <c r="B8" s="16" t="s">
        <v>13</v>
      </c>
      <c r="C8" s="19"/>
      <c r="D8" s="27"/>
      <c r="E8" s="21">
        <v>11.98</v>
      </c>
      <c r="F8" s="14">
        <f t="shared" si="0"/>
        <v>918</v>
      </c>
      <c r="H8" s="5">
        <v>11.5</v>
      </c>
      <c r="I8" s="5">
        <v>1.7</v>
      </c>
      <c r="J8" s="5"/>
      <c r="M8">
        <f t="shared" si="1"/>
        <v>1198</v>
      </c>
      <c r="N8">
        <f t="shared" si="2"/>
        <v>1150</v>
      </c>
      <c r="O8">
        <f t="shared" si="3"/>
        <v>-48</v>
      </c>
      <c r="P8" s="6">
        <f t="shared" si="4"/>
        <v>918.4</v>
      </c>
    </row>
    <row r="9" spans="1:17" x14ac:dyDescent="0.15">
      <c r="B9" s="16" t="s">
        <v>14</v>
      </c>
      <c r="C9" s="19"/>
      <c r="D9" s="27"/>
      <c r="E9" s="21">
        <v>21.81</v>
      </c>
      <c r="F9" s="14">
        <f t="shared" si="0"/>
        <v>1101</v>
      </c>
      <c r="H9" s="5">
        <v>23</v>
      </c>
      <c r="I9" s="5">
        <v>0.85</v>
      </c>
      <c r="J9" s="5"/>
      <c r="M9">
        <f t="shared" si="1"/>
        <v>2181</v>
      </c>
      <c r="N9">
        <f t="shared" si="2"/>
        <v>2300</v>
      </c>
      <c r="O9">
        <f t="shared" si="3"/>
        <v>119</v>
      </c>
      <c r="P9" s="6">
        <f t="shared" si="4"/>
        <v>1101.1500000000001</v>
      </c>
    </row>
    <row r="10" spans="1:17" x14ac:dyDescent="0.15">
      <c r="B10" s="16" t="s">
        <v>15</v>
      </c>
      <c r="C10" s="19"/>
      <c r="D10" s="27"/>
      <c r="E10" s="21">
        <v>37.700000000000003</v>
      </c>
      <c r="F10" s="14">
        <f t="shared" si="0"/>
        <v>949</v>
      </c>
      <c r="H10" s="5">
        <v>36.85</v>
      </c>
      <c r="I10" s="5">
        <v>0.6</v>
      </c>
      <c r="J10" s="5"/>
      <c r="M10">
        <f t="shared" si="1"/>
        <v>3770.0000000000005</v>
      </c>
      <c r="N10">
        <f t="shared" si="2"/>
        <v>3685</v>
      </c>
      <c r="O10">
        <f t="shared" si="3"/>
        <v>-85.000000000000455</v>
      </c>
      <c r="P10" s="6">
        <f t="shared" si="4"/>
        <v>948.99999999999977</v>
      </c>
    </row>
    <row r="11" spans="1:17" x14ac:dyDescent="0.15">
      <c r="B11" s="16" t="s">
        <v>16</v>
      </c>
      <c r="C11" s="19"/>
      <c r="D11" s="30"/>
      <c r="E11" s="21"/>
      <c r="F11" s="14">
        <f t="shared" si="0"/>
        <v>0</v>
      </c>
      <c r="H11" s="5">
        <v>51.5</v>
      </c>
      <c r="I11" s="5">
        <v>0.4</v>
      </c>
      <c r="J11" s="5"/>
      <c r="M11">
        <f t="shared" si="1"/>
        <v>0</v>
      </c>
      <c r="N11">
        <f t="shared" si="2"/>
        <v>5150</v>
      </c>
      <c r="O11">
        <f t="shared" si="3"/>
        <v>5150</v>
      </c>
      <c r="P11" s="6">
        <f t="shared" si="4"/>
        <v>3060</v>
      </c>
    </row>
    <row r="12" spans="1:17" x14ac:dyDescent="0.15">
      <c r="B12" s="15" t="s">
        <v>9</v>
      </c>
      <c r="C12" s="19"/>
      <c r="D12" s="23"/>
      <c r="E12" s="22"/>
      <c r="F12" s="14">
        <f t="shared" ref="F12:F23" si="5">IF(P12&lt;0,0,IF(AND(E12=0,D12=0),0,ROUNDDOWN(P12,0)))</f>
        <v>0</v>
      </c>
      <c r="H12" s="5">
        <v>84</v>
      </c>
      <c r="I12" s="5">
        <v>2.6</v>
      </c>
      <c r="J12" s="5"/>
      <c r="M12">
        <f>(D12*60+E12)*10</f>
        <v>0</v>
      </c>
      <c r="N12">
        <f>H12*10</f>
        <v>840</v>
      </c>
      <c r="O12">
        <f t="shared" si="3"/>
        <v>840</v>
      </c>
      <c r="P12" s="6">
        <f t="shared" si="4"/>
        <v>3184</v>
      </c>
    </row>
    <row r="13" spans="1:17" x14ac:dyDescent="0.15">
      <c r="B13" s="15" t="s">
        <v>20</v>
      </c>
      <c r="C13" s="19"/>
      <c r="D13" s="24"/>
      <c r="E13" s="22"/>
      <c r="F13" s="14">
        <f t="shared" si="5"/>
        <v>0</v>
      </c>
      <c r="H13" s="5">
        <v>117.5</v>
      </c>
      <c r="I13" s="5">
        <v>1.8</v>
      </c>
      <c r="J13" s="5"/>
      <c r="M13">
        <f t="shared" ref="M13:M18" si="6">(D13*60+E13)*10</f>
        <v>0</v>
      </c>
      <c r="N13">
        <f t="shared" ref="N13:N18" si="7">H13*10</f>
        <v>1175</v>
      </c>
      <c r="O13">
        <f t="shared" si="3"/>
        <v>1175</v>
      </c>
      <c r="P13" s="6">
        <f t="shared" si="4"/>
        <v>3115</v>
      </c>
    </row>
    <row r="14" spans="1:17" x14ac:dyDescent="0.15">
      <c r="B14" s="15" t="s">
        <v>17</v>
      </c>
      <c r="C14" s="19"/>
      <c r="D14" s="24"/>
      <c r="E14" s="22"/>
      <c r="F14" s="14">
        <f t="shared" si="5"/>
        <v>0</v>
      </c>
      <c r="H14" s="5">
        <v>156</v>
      </c>
      <c r="I14" s="5">
        <v>1.1000000000000001</v>
      </c>
      <c r="J14" s="5"/>
      <c r="M14">
        <f t="shared" si="6"/>
        <v>0</v>
      </c>
      <c r="N14">
        <f t="shared" si="7"/>
        <v>1560</v>
      </c>
      <c r="O14">
        <f t="shared" si="3"/>
        <v>1560</v>
      </c>
      <c r="P14" s="6">
        <f t="shared" si="4"/>
        <v>2716</v>
      </c>
    </row>
    <row r="15" spans="1:17" x14ac:dyDescent="0.15">
      <c r="B15" s="15" t="s">
        <v>18</v>
      </c>
      <c r="C15" s="19"/>
      <c r="D15" s="24"/>
      <c r="E15" s="22"/>
      <c r="F15" s="14">
        <f t="shared" si="5"/>
        <v>0</v>
      </c>
      <c r="H15" s="5">
        <v>246</v>
      </c>
      <c r="I15" s="5">
        <v>0.7</v>
      </c>
      <c r="J15" s="5"/>
      <c r="M15">
        <f t="shared" si="6"/>
        <v>0</v>
      </c>
      <c r="N15">
        <f t="shared" si="7"/>
        <v>2460</v>
      </c>
      <c r="O15">
        <f t="shared" si="3"/>
        <v>2460</v>
      </c>
      <c r="P15" s="6">
        <f t="shared" si="4"/>
        <v>2722</v>
      </c>
    </row>
    <row r="16" spans="1:17" x14ac:dyDescent="0.15">
      <c r="B16" s="15" t="s">
        <v>19</v>
      </c>
      <c r="C16" s="19"/>
      <c r="D16" s="24"/>
      <c r="E16" s="22"/>
      <c r="F16" s="14">
        <f t="shared" si="5"/>
        <v>0</v>
      </c>
      <c r="H16" s="5">
        <v>346</v>
      </c>
      <c r="I16" s="5">
        <v>0.45</v>
      </c>
      <c r="J16" s="5"/>
      <c r="M16">
        <f t="shared" si="6"/>
        <v>0</v>
      </c>
      <c r="N16">
        <f t="shared" si="7"/>
        <v>3460</v>
      </c>
      <c r="O16">
        <f t="shared" si="3"/>
        <v>3460</v>
      </c>
      <c r="P16" s="6">
        <f t="shared" si="4"/>
        <v>2557</v>
      </c>
    </row>
    <row r="17" spans="2:17" x14ac:dyDescent="0.15">
      <c r="B17" s="15" t="s">
        <v>21</v>
      </c>
      <c r="C17" s="19"/>
      <c r="D17" s="24"/>
      <c r="E17" s="22"/>
      <c r="F17" s="14">
        <f t="shared" si="5"/>
        <v>0</v>
      </c>
      <c r="H17" s="5">
        <v>540</v>
      </c>
      <c r="I17" s="5">
        <v>0.27</v>
      </c>
      <c r="J17" s="5"/>
      <c r="M17">
        <f t="shared" si="6"/>
        <v>0</v>
      </c>
      <c r="N17">
        <f t="shared" si="7"/>
        <v>5400</v>
      </c>
      <c r="O17">
        <f t="shared" si="3"/>
        <v>5400</v>
      </c>
      <c r="P17" s="6">
        <f t="shared" si="4"/>
        <v>2458</v>
      </c>
    </row>
    <row r="18" spans="2:17" x14ac:dyDescent="0.15">
      <c r="B18" s="15" t="s">
        <v>22</v>
      </c>
      <c r="C18" s="19"/>
      <c r="D18" s="24"/>
      <c r="E18" s="22"/>
      <c r="F18" s="14">
        <f t="shared" si="5"/>
        <v>0</v>
      </c>
      <c r="H18" s="5">
        <v>950</v>
      </c>
      <c r="I18" s="5">
        <v>0.15</v>
      </c>
      <c r="J18" s="5"/>
      <c r="M18">
        <f t="shared" si="6"/>
        <v>0</v>
      </c>
      <c r="N18">
        <f t="shared" si="7"/>
        <v>9500</v>
      </c>
      <c r="O18">
        <f t="shared" si="3"/>
        <v>9500</v>
      </c>
      <c r="P18" s="6">
        <f t="shared" si="4"/>
        <v>2425</v>
      </c>
    </row>
    <row r="19" spans="2:17" x14ac:dyDescent="0.15">
      <c r="B19" s="16" t="s">
        <v>17</v>
      </c>
      <c r="C19" s="31" t="s">
        <v>137</v>
      </c>
      <c r="D19" s="25"/>
      <c r="E19" s="21"/>
      <c r="F19" s="14">
        <f t="shared" si="5"/>
        <v>0</v>
      </c>
      <c r="H19" s="5">
        <v>246</v>
      </c>
      <c r="I19" s="5">
        <v>0.7</v>
      </c>
      <c r="J19" s="5"/>
      <c r="M19">
        <f>(D19*60+E19)*10</f>
        <v>0</v>
      </c>
      <c r="N19">
        <f>H19*10</f>
        <v>2460</v>
      </c>
      <c r="O19">
        <f t="shared" ref="O19:O28" si="8">N19-M19</f>
        <v>2460</v>
      </c>
      <c r="P19" s="6">
        <f t="shared" ref="P19:P28" si="9">1000+O19*I19</f>
        <v>2722</v>
      </c>
    </row>
    <row r="20" spans="2:17" x14ac:dyDescent="0.15">
      <c r="B20" s="16" t="s">
        <v>19</v>
      </c>
      <c r="C20" s="31" t="s">
        <v>137</v>
      </c>
      <c r="D20" s="25"/>
      <c r="E20" s="21"/>
      <c r="F20" s="14">
        <f t="shared" si="5"/>
        <v>0</v>
      </c>
      <c r="H20" s="5">
        <v>518</v>
      </c>
      <c r="I20" s="5">
        <v>0.3</v>
      </c>
      <c r="J20" s="5"/>
      <c r="M20">
        <f>(D20*60+E20)*10</f>
        <v>0</v>
      </c>
      <c r="N20">
        <f>H20*10</f>
        <v>5180</v>
      </c>
      <c r="O20">
        <f t="shared" si="8"/>
        <v>5180</v>
      </c>
      <c r="P20" s="6">
        <f t="shared" si="9"/>
        <v>2554</v>
      </c>
    </row>
    <row r="21" spans="2:17" x14ac:dyDescent="0.15">
      <c r="B21" s="16" t="s">
        <v>21</v>
      </c>
      <c r="C21" s="31" t="s">
        <v>137</v>
      </c>
      <c r="D21" s="25"/>
      <c r="E21" s="21"/>
      <c r="F21" s="14">
        <f t="shared" si="5"/>
        <v>0</v>
      </c>
      <c r="H21" s="5">
        <v>810</v>
      </c>
      <c r="I21" s="5">
        <v>0.18</v>
      </c>
      <c r="J21" s="5"/>
      <c r="M21">
        <f>(D21*60+E21)*10</f>
        <v>0</v>
      </c>
      <c r="N21">
        <f>H21*10</f>
        <v>8100</v>
      </c>
      <c r="O21">
        <f t="shared" si="8"/>
        <v>8100</v>
      </c>
      <c r="P21" s="6">
        <f t="shared" si="9"/>
        <v>2458</v>
      </c>
    </row>
    <row r="22" spans="2:17" x14ac:dyDescent="0.15">
      <c r="B22" s="16" t="s">
        <v>22</v>
      </c>
      <c r="C22" s="31" t="s">
        <v>137</v>
      </c>
      <c r="D22" s="25"/>
      <c r="E22" s="21"/>
      <c r="F22" s="14">
        <f t="shared" si="5"/>
        <v>0</v>
      </c>
      <c r="H22" s="5">
        <v>1395</v>
      </c>
      <c r="I22" s="5">
        <v>0.11</v>
      </c>
      <c r="J22" s="5"/>
      <c r="M22">
        <f>(D22*60+E22)*10</f>
        <v>0</v>
      </c>
      <c r="N22">
        <f>H22*10</f>
        <v>13950</v>
      </c>
      <c r="O22">
        <f t="shared" si="8"/>
        <v>13950</v>
      </c>
      <c r="P22" s="6">
        <f t="shared" si="9"/>
        <v>2534.5</v>
      </c>
    </row>
    <row r="23" spans="2:17" x14ac:dyDescent="0.15">
      <c r="B23" s="16" t="s">
        <v>23</v>
      </c>
      <c r="C23" s="31" t="s">
        <v>137</v>
      </c>
      <c r="D23" s="25"/>
      <c r="E23" s="21"/>
      <c r="F23" s="14">
        <f t="shared" si="5"/>
        <v>0</v>
      </c>
      <c r="H23" s="5">
        <v>2960</v>
      </c>
      <c r="I23" s="5">
        <v>0.05</v>
      </c>
      <c r="J23" s="5"/>
      <c r="M23">
        <f>(D23*60+E23)*10</f>
        <v>0</v>
      </c>
      <c r="N23">
        <f>H23*10</f>
        <v>29600</v>
      </c>
      <c r="O23">
        <f>N23-M23</f>
        <v>29600</v>
      </c>
      <c r="P23" s="6">
        <f>1000+O23*I23</f>
        <v>2480</v>
      </c>
    </row>
    <row r="24" spans="2:17" x14ac:dyDescent="0.15">
      <c r="B24" s="16" t="s">
        <v>120</v>
      </c>
      <c r="C24" s="31" t="s">
        <v>147</v>
      </c>
      <c r="D24" s="28"/>
      <c r="E24" s="21"/>
      <c r="F24" s="14">
        <f>IF(P24&lt;0,0,IF(E24=0,0,ROUNDDOWN(P24,0)))</f>
        <v>0</v>
      </c>
      <c r="H24" s="5">
        <v>15.3</v>
      </c>
      <c r="I24" s="5">
        <v>1</v>
      </c>
      <c r="J24" s="5"/>
      <c r="M24">
        <f>E24*100</f>
        <v>0</v>
      </c>
      <c r="N24">
        <f>H24*100</f>
        <v>1530</v>
      </c>
      <c r="O24">
        <f t="shared" si="8"/>
        <v>1530</v>
      </c>
      <c r="P24" s="6">
        <f t="shared" si="9"/>
        <v>2530</v>
      </c>
    </row>
    <row r="25" spans="2:17" x14ac:dyDescent="0.15">
      <c r="B25" s="16" t="s">
        <v>120</v>
      </c>
      <c r="C25" s="31" t="s">
        <v>121</v>
      </c>
      <c r="D25" s="27"/>
      <c r="E25" s="21"/>
      <c r="F25" s="14">
        <f>IF(P25&lt;0,0,IF(E25=0,0,ROUNDDOWN(P25,0)))</f>
        <v>0</v>
      </c>
      <c r="H25" s="5">
        <v>15.8</v>
      </c>
      <c r="I25" s="5">
        <v>1</v>
      </c>
      <c r="J25" s="5"/>
      <c r="M25">
        <f>E25*100</f>
        <v>0</v>
      </c>
      <c r="N25">
        <f>H25*100</f>
        <v>1580</v>
      </c>
      <c r="O25">
        <f t="shared" si="8"/>
        <v>1580</v>
      </c>
      <c r="P25" s="6">
        <f t="shared" si="9"/>
        <v>2580</v>
      </c>
    </row>
    <row r="26" spans="2:17" x14ac:dyDescent="0.15">
      <c r="B26" s="16" t="s">
        <v>81</v>
      </c>
      <c r="C26" s="31" t="s">
        <v>115</v>
      </c>
      <c r="D26" s="27"/>
      <c r="E26" s="21"/>
      <c r="F26" s="14">
        <f>IF(P26&lt;0,0,IF(E26=0,0,ROUNDDOWN(P26,0)))</f>
        <v>0</v>
      </c>
      <c r="H26" s="5">
        <v>27</v>
      </c>
      <c r="I26" s="5">
        <v>0.6</v>
      </c>
      <c r="J26" s="5"/>
      <c r="M26">
        <f>E26*100</f>
        <v>0</v>
      </c>
      <c r="N26">
        <f>H26*100</f>
        <v>2700</v>
      </c>
      <c r="O26">
        <f t="shared" si="8"/>
        <v>2700</v>
      </c>
      <c r="P26" s="6">
        <f t="shared" si="9"/>
        <v>2620</v>
      </c>
    </row>
    <row r="27" spans="2:17" x14ac:dyDescent="0.15">
      <c r="B27" s="16" t="s">
        <v>102</v>
      </c>
      <c r="C27" s="31" t="s">
        <v>129</v>
      </c>
      <c r="D27" s="30"/>
      <c r="E27" s="21"/>
      <c r="F27" s="14">
        <f>IF(P27&lt;0,0,IF(E27=0,0,ROUNDDOWN(P27,0)))</f>
        <v>0</v>
      </c>
      <c r="H27" s="5">
        <v>41</v>
      </c>
      <c r="I27" s="5">
        <v>0.46</v>
      </c>
      <c r="J27" s="5"/>
      <c r="M27">
        <f>E27*100</f>
        <v>0</v>
      </c>
      <c r="N27">
        <f>H27*100</f>
        <v>4100</v>
      </c>
      <c r="O27">
        <f t="shared" si="8"/>
        <v>4100</v>
      </c>
      <c r="P27" s="6">
        <f t="shared" si="9"/>
        <v>2886</v>
      </c>
    </row>
    <row r="28" spans="2:17" x14ac:dyDescent="0.15">
      <c r="B28" s="16" t="s">
        <v>117</v>
      </c>
      <c r="C28" s="31" t="s">
        <v>129</v>
      </c>
      <c r="D28" s="30"/>
      <c r="E28" s="21"/>
      <c r="F28" s="14">
        <f>IF(P28&lt;0,0,IF(E28=0,0,ROUNDDOWN(P28,0)))</f>
        <v>0</v>
      </c>
      <c r="H28" s="5">
        <v>57</v>
      </c>
      <c r="I28" s="5">
        <v>0.34</v>
      </c>
      <c r="J28" s="5"/>
      <c r="M28">
        <f>E28*100</f>
        <v>0</v>
      </c>
      <c r="N28">
        <f>H28*100</f>
        <v>5700</v>
      </c>
      <c r="O28">
        <f t="shared" si="8"/>
        <v>5700</v>
      </c>
      <c r="P28" s="6">
        <f t="shared" si="9"/>
        <v>2938</v>
      </c>
    </row>
    <row r="29" spans="2:17" x14ac:dyDescent="0.15">
      <c r="B29" s="16" t="s">
        <v>25</v>
      </c>
      <c r="C29" s="31" t="s">
        <v>107</v>
      </c>
      <c r="D29" s="24"/>
      <c r="E29" s="22"/>
      <c r="F29" s="14">
        <f>IF(P29&lt;0,0,IF(AND(E29=0,D29=0),0,ROUNDDOWN(P29,0)))</f>
        <v>0</v>
      </c>
      <c r="H29" s="5">
        <v>385</v>
      </c>
      <c r="I29" s="5">
        <v>0.41</v>
      </c>
      <c r="J29" s="5"/>
      <c r="M29">
        <f>(D29*60+E29)*10</f>
        <v>0</v>
      </c>
      <c r="N29">
        <f>H29*10</f>
        <v>3850</v>
      </c>
      <c r="O29">
        <f>N29-M29</f>
        <v>3850</v>
      </c>
      <c r="P29" s="6">
        <f>1000+O29*I29</f>
        <v>2578.5</v>
      </c>
    </row>
    <row r="30" spans="2:17" x14ac:dyDescent="0.15">
      <c r="B30" s="16" t="s">
        <v>26</v>
      </c>
      <c r="C30" s="31" t="s">
        <v>107</v>
      </c>
      <c r="D30" s="24">
        <v>10</v>
      </c>
      <c r="E30" s="22">
        <v>10</v>
      </c>
      <c r="F30" s="14">
        <f>IF(P30&lt;0,0,IF(AND(E30=0,D30=0),0,ROUNDDOWN(P30,0)))</f>
        <v>1000</v>
      </c>
      <c r="H30" s="5">
        <v>610</v>
      </c>
      <c r="I30" s="5">
        <v>0.27</v>
      </c>
      <c r="J30" s="5"/>
      <c r="M30">
        <f>(D30*60+E30)*10</f>
        <v>6100</v>
      </c>
      <c r="N30">
        <f>H30*10</f>
        <v>6100</v>
      </c>
      <c r="O30">
        <f>N30-M30</f>
        <v>0</v>
      </c>
      <c r="P30" s="6">
        <f>1000+O30*I30</f>
        <v>1000</v>
      </c>
    </row>
    <row r="31" spans="2:17" ht="16" x14ac:dyDescent="0.2">
      <c r="B31" s="7"/>
      <c r="C31" s="7"/>
      <c r="D31" s="7"/>
      <c r="E31" s="35" t="s">
        <v>34</v>
      </c>
      <c r="F31" s="4"/>
      <c r="G31" s="4"/>
      <c r="H31" s="8"/>
      <c r="I31" s="8"/>
      <c r="J31" s="8"/>
      <c r="K31" s="4"/>
      <c r="L31" s="4"/>
      <c r="M31" s="4"/>
      <c r="N31" s="4"/>
      <c r="O31" s="4"/>
      <c r="P31" s="4"/>
      <c r="Q31" s="4"/>
    </row>
    <row r="32" spans="2:17" x14ac:dyDescent="0.15">
      <c r="B32" s="16" t="s">
        <v>10</v>
      </c>
      <c r="C32" s="18"/>
      <c r="D32" s="26"/>
      <c r="E32" s="21"/>
      <c r="F32" s="14">
        <f>IF(P32&lt;0,0,IF(E32=0,0,ROUNDDOWN(P32,0)))</f>
        <v>0</v>
      </c>
      <c r="H32" s="5">
        <v>1.93</v>
      </c>
      <c r="I32" s="5">
        <v>7</v>
      </c>
      <c r="J32" s="5"/>
      <c r="M32">
        <f t="shared" ref="M32:M41" si="10">E32*100</f>
        <v>0</v>
      </c>
      <c r="N32">
        <f t="shared" ref="N32:N41" si="11">H32*100</f>
        <v>193</v>
      </c>
      <c r="O32">
        <f t="shared" ref="O32:O41" si="12">N32-M32</f>
        <v>193</v>
      </c>
      <c r="P32" s="6">
        <f>1000-O32*I32</f>
        <v>-351</v>
      </c>
    </row>
    <row r="33" spans="2:17" x14ac:dyDescent="0.15">
      <c r="B33" s="16" t="s">
        <v>27</v>
      </c>
      <c r="C33" s="19"/>
      <c r="D33" s="27"/>
      <c r="E33" s="21"/>
      <c r="F33" s="14">
        <f t="shared" ref="F33:F41" si="13">IF(P33&lt;0,0,IF(E33=0,0,ROUNDDOWN(P33,0)))</f>
        <v>0</v>
      </c>
      <c r="H33" s="5">
        <v>1.55</v>
      </c>
      <c r="I33" s="5">
        <v>8.5</v>
      </c>
      <c r="J33" s="5"/>
      <c r="M33">
        <f t="shared" si="10"/>
        <v>0</v>
      </c>
      <c r="N33">
        <f t="shared" si="11"/>
        <v>155</v>
      </c>
      <c r="O33">
        <f t="shared" si="12"/>
        <v>155</v>
      </c>
      <c r="P33" s="6">
        <f>1000-O33*I33</f>
        <v>-317.5</v>
      </c>
    </row>
    <row r="34" spans="2:17" x14ac:dyDescent="0.15">
      <c r="B34" s="16" t="s">
        <v>28</v>
      </c>
      <c r="C34" s="19"/>
      <c r="D34" s="27"/>
      <c r="E34" s="21"/>
      <c r="F34" s="14">
        <f t="shared" si="13"/>
        <v>0</v>
      </c>
      <c r="H34" s="5">
        <v>4.05</v>
      </c>
      <c r="I34" s="5">
        <f>IF(E34&lt;0.8*H34,L34,Q34)</f>
        <v>7</v>
      </c>
      <c r="J34" s="5">
        <v>1.7</v>
      </c>
      <c r="K34" s="5">
        <v>3.5</v>
      </c>
      <c r="L34" s="5">
        <v>7</v>
      </c>
      <c r="M34">
        <f t="shared" si="10"/>
        <v>0</v>
      </c>
      <c r="N34">
        <f t="shared" si="11"/>
        <v>405</v>
      </c>
      <c r="O34">
        <f t="shared" si="12"/>
        <v>405</v>
      </c>
      <c r="P34" s="6">
        <f>IF(E34&lt;0.8*H34,1000-((N34-0.8*N34)*K34+(O34-(N34-N34*0.8))*L34),1000-O34*I34)</f>
        <v>-1551.5</v>
      </c>
      <c r="Q34" s="5">
        <f>IF(E34&gt;H34,J34,K34)</f>
        <v>3.5</v>
      </c>
    </row>
    <row r="35" spans="2:17" x14ac:dyDescent="0.15">
      <c r="B35" s="16" t="s">
        <v>11</v>
      </c>
      <c r="C35" s="19"/>
      <c r="D35" s="27"/>
      <c r="E35" s="21"/>
      <c r="F35" s="14">
        <f t="shared" si="13"/>
        <v>0</v>
      </c>
      <c r="H35" s="5">
        <v>6.6</v>
      </c>
      <c r="I35" s="5">
        <v>2</v>
      </c>
      <c r="J35" s="5"/>
      <c r="M35">
        <f t="shared" si="10"/>
        <v>0</v>
      </c>
      <c r="N35">
        <f t="shared" si="11"/>
        <v>660</v>
      </c>
      <c r="O35">
        <f t="shared" si="12"/>
        <v>660</v>
      </c>
      <c r="P35" s="6">
        <f>1000-O35*I35</f>
        <v>-320</v>
      </c>
    </row>
    <row r="36" spans="2:17" x14ac:dyDescent="0.15">
      <c r="B36" s="16" t="s">
        <v>29</v>
      </c>
      <c r="C36" s="19"/>
      <c r="D36" s="27"/>
      <c r="E36" s="21"/>
      <c r="F36" s="14">
        <f t="shared" si="13"/>
        <v>0</v>
      </c>
      <c r="H36" s="5">
        <v>3.05</v>
      </c>
      <c r="I36" s="5">
        <v>5</v>
      </c>
      <c r="J36" s="5"/>
      <c r="M36">
        <f t="shared" si="10"/>
        <v>0</v>
      </c>
      <c r="N36">
        <f t="shared" si="11"/>
        <v>305</v>
      </c>
      <c r="O36">
        <f t="shared" si="12"/>
        <v>305</v>
      </c>
      <c r="P36" s="6">
        <f>1000-O36*I36</f>
        <v>-525</v>
      </c>
    </row>
    <row r="37" spans="2:17" x14ac:dyDescent="0.15">
      <c r="B37" s="16" t="s">
        <v>30</v>
      </c>
      <c r="C37" s="20"/>
      <c r="D37" s="27"/>
      <c r="E37" s="21"/>
      <c r="F37" s="14">
        <f t="shared" si="13"/>
        <v>0</v>
      </c>
      <c r="H37" s="5">
        <v>13.7</v>
      </c>
      <c r="I37" s="5">
        <v>1</v>
      </c>
      <c r="J37" s="5"/>
      <c r="M37">
        <f t="shared" si="10"/>
        <v>0</v>
      </c>
      <c r="N37">
        <f t="shared" si="11"/>
        <v>1370</v>
      </c>
      <c r="O37">
        <f t="shared" si="12"/>
        <v>1370</v>
      </c>
      <c r="P37" s="6">
        <f>1000-O37*I37</f>
        <v>-370</v>
      </c>
    </row>
    <row r="38" spans="2:17" x14ac:dyDescent="0.15">
      <c r="B38" s="16" t="s">
        <v>86</v>
      </c>
      <c r="C38" s="31" t="s">
        <v>124</v>
      </c>
      <c r="D38" s="27"/>
      <c r="E38" s="21"/>
      <c r="F38" s="14">
        <f t="shared" si="13"/>
        <v>0</v>
      </c>
      <c r="H38" s="5">
        <v>15.8</v>
      </c>
      <c r="I38" s="5">
        <f>IF(E38&lt;0.8*H38,L38,Q38)</f>
        <v>1.2</v>
      </c>
      <c r="J38" s="5">
        <v>0.3</v>
      </c>
      <c r="K38" s="5">
        <v>0.6</v>
      </c>
      <c r="L38" s="5">
        <v>1.2</v>
      </c>
      <c r="M38">
        <f t="shared" si="10"/>
        <v>0</v>
      </c>
      <c r="N38">
        <f t="shared" si="11"/>
        <v>1580</v>
      </c>
      <c r="O38">
        <f t="shared" si="12"/>
        <v>1580</v>
      </c>
      <c r="P38" s="6">
        <f>IF(E38&lt;0.8*H38,1000-((N38-0.8*N38)*K38+(O38-(N38-N38*0.8))*L38),1000-O38*I38)</f>
        <v>-706.39999999999986</v>
      </c>
      <c r="Q38" s="5">
        <f>IF(E38&gt;H38,J38,K38)</f>
        <v>0.6</v>
      </c>
    </row>
    <row r="39" spans="2:17" x14ac:dyDescent="0.15">
      <c r="B39" s="16" t="s">
        <v>87</v>
      </c>
      <c r="C39" s="31" t="s">
        <v>125</v>
      </c>
      <c r="D39" s="27"/>
      <c r="E39" s="21"/>
      <c r="F39" s="14">
        <f t="shared" si="13"/>
        <v>0</v>
      </c>
      <c r="H39" s="5">
        <v>48</v>
      </c>
      <c r="I39" s="5">
        <f>IF(E39&lt;0.8*H39,L39,Q39)</f>
        <v>0.5</v>
      </c>
      <c r="J39" s="5">
        <v>0.13</v>
      </c>
      <c r="K39" s="5">
        <v>0.25</v>
      </c>
      <c r="L39" s="5">
        <v>0.5</v>
      </c>
      <c r="M39">
        <f t="shared" si="10"/>
        <v>0</v>
      </c>
      <c r="N39">
        <f t="shared" si="11"/>
        <v>4800</v>
      </c>
      <c r="O39">
        <f t="shared" si="12"/>
        <v>4800</v>
      </c>
      <c r="P39" s="6">
        <f>IF(E39&lt;0.8*H39,1000-((N39-0.8*N39)*K39+(O39-(N39-N39*0.8))*L39),1000-O39*I39)</f>
        <v>-1160</v>
      </c>
      <c r="Q39" s="5">
        <f>IF(E39&gt;H39,J39,K39)</f>
        <v>0.25</v>
      </c>
    </row>
    <row r="40" spans="2:17" x14ac:dyDescent="0.15">
      <c r="B40" s="16" t="s">
        <v>88</v>
      </c>
      <c r="C40" s="31" t="s">
        <v>126</v>
      </c>
      <c r="D40" s="27"/>
      <c r="E40" s="21"/>
      <c r="F40" s="14">
        <f t="shared" si="13"/>
        <v>0</v>
      </c>
      <c r="H40" s="5">
        <v>59</v>
      </c>
      <c r="I40" s="5">
        <f>IF(E40&lt;0.8*H40,L40,Q40)</f>
        <v>0.4</v>
      </c>
      <c r="J40" s="5">
        <v>0.1</v>
      </c>
      <c r="K40" s="5">
        <v>0.2</v>
      </c>
      <c r="L40" s="5">
        <v>0.4</v>
      </c>
      <c r="M40">
        <f t="shared" si="10"/>
        <v>0</v>
      </c>
      <c r="N40">
        <f t="shared" si="11"/>
        <v>5900</v>
      </c>
      <c r="O40">
        <f t="shared" si="12"/>
        <v>5900</v>
      </c>
      <c r="P40" s="6">
        <f>IF(E40&lt;0.8*H40,1000-((N40-0.8*N40)*K40+(O40-(N40-N40*0.8))*L40),1000-O40*I40)</f>
        <v>-1124</v>
      </c>
      <c r="Q40" s="5">
        <f>IF(E40&gt;H40,J40,K40)</f>
        <v>0.2</v>
      </c>
    </row>
    <row r="41" spans="2:17" x14ac:dyDescent="0.15">
      <c r="B41" s="16" t="s">
        <v>89</v>
      </c>
      <c r="C41" s="31" t="s">
        <v>128</v>
      </c>
      <c r="D41" s="30"/>
      <c r="E41" s="21"/>
      <c r="F41" s="14">
        <f t="shared" si="13"/>
        <v>0</v>
      </c>
      <c r="H41" s="5">
        <v>60</v>
      </c>
      <c r="I41" s="5">
        <f>IF(E41&lt;0.8*H41,L41,Q41)</f>
        <v>0.4</v>
      </c>
      <c r="J41" s="5">
        <v>0.1</v>
      </c>
      <c r="K41" s="5">
        <v>0.2</v>
      </c>
      <c r="L41" s="5">
        <v>0.4</v>
      </c>
      <c r="M41">
        <f t="shared" si="10"/>
        <v>0</v>
      </c>
      <c r="N41">
        <f t="shared" si="11"/>
        <v>6000</v>
      </c>
      <c r="O41">
        <f t="shared" si="12"/>
        <v>6000</v>
      </c>
      <c r="P41" s="6">
        <f>IF(E41&lt;0.8*H41,1000-((N41-0.8*N41)*K41+(O41-(N41-N41*0.8))*L41),1000-O41*I41)</f>
        <v>-1160</v>
      </c>
      <c r="Q41" s="5">
        <f>IF(E41&gt;H41,J41,K41)</f>
        <v>0.2</v>
      </c>
    </row>
    <row r="43" spans="2:17" x14ac:dyDescent="0.15">
      <c r="B43" s="60" t="s">
        <v>47</v>
      </c>
      <c r="C43" s="60"/>
      <c r="D43" s="60"/>
      <c r="E43" s="60"/>
      <c r="F43" s="60"/>
    </row>
    <row r="44" spans="2:17" x14ac:dyDescent="0.15">
      <c r="B44" s="60" t="s">
        <v>36</v>
      </c>
      <c r="C44" s="60"/>
      <c r="D44" s="60"/>
      <c r="E44" s="60"/>
      <c r="F44" s="60"/>
    </row>
    <row r="45" spans="2:17" x14ac:dyDescent="0.15">
      <c r="B45" s="60" t="s">
        <v>35</v>
      </c>
      <c r="C45" s="60"/>
      <c r="D45" s="60"/>
      <c r="E45" s="60"/>
      <c r="F45" s="60"/>
    </row>
    <row r="47" spans="2:17" ht="16" x14ac:dyDescent="0.2">
      <c r="B47" s="58" t="s">
        <v>146</v>
      </c>
      <c r="C47" s="59"/>
      <c r="D47" s="59"/>
      <c r="E47" s="59"/>
      <c r="F47" s="59"/>
    </row>
  </sheetData>
  <sheetProtection password="CCED" sheet="1" objects="1" scenarios="1" selectLockedCells="1"/>
  <mergeCells count="6">
    <mergeCell ref="D4:E4"/>
    <mergeCell ref="B4:C4"/>
    <mergeCell ref="B47:F47"/>
    <mergeCell ref="B43:F43"/>
    <mergeCell ref="B44:F44"/>
    <mergeCell ref="B45:F45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0"/>
  </sheetPr>
  <dimension ref="A1:Q45"/>
  <sheetViews>
    <sheetView showGridLines="0" showRowColHeaders="0" showOutlineSymbols="0" workbookViewId="0">
      <selection activeCell="E6" sqref="E6"/>
    </sheetView>
  </sheetViews>
  <sheetFormatPr baseColWidth="10" defaultColWidth="8.83203125" defaultRowHeight="13" x14ac:dyDescent="0.15"/>
  <cols>
    <col min="1" max="1" width="10.5" customWidth="1"/>
    <col min="2" max="2" width="15.33203125" customWidth="1"/>
    <col min="3" max="3" width="12.5" customWidth="1"/>
    <col min="4" max="6" width="11.5" customWidth="1"/>
    <col min="7" max="7" width="5.33203125" customWidth="1"/>
    <col min="8" max="9" width="11.5" hidden="1" customWidth="1"/>
    <col min="10" max="10" width="6.6640625" hidden="1" customWidth="1"/>
    <col min="11" max="11" width="8.1640625" hidden="1" customWidth="1"/>
    <col min="12" max="12" width="7.33203125" hidden="1" customWidth="1"/>
    <col min="13" max="13" width="5.83203125" hidden="1" customWidth="1"/>
    <col min="14" max="14" width="8.6640625" hidden="1" customWidth="1"/>
    <col min="15" max="15" width="7" hidden="1" customWidth="1"/>
    <col min="16" max="16" width="13.6640625" hidden="1" customWidth="1"/>
    <col min="17" max="17" width="11.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62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61" t="s">
        <v>1</v>
      </c>
      <c r="E4" s="61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9" t="s">
        <v>32</v>
      </c>
      <c r="E5" s="39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5" t="s">
        <v>8</v>
      </c>
      <c r="C6" s="18"/>
      <c r="D6" s="26"/>
      <c r="E6" s="22"/>
      <c r="F6" s="14">
        <f t="shared" ref="F6:F11" si="0">IF(P6&lt;0,0,IF(E6=0,0,ROUNDDOWN(P6,0)))</f>
        <v>0</v>
      </c>
      <c r="H6" s="5">
        <v>8</v>
      </c>
      <c r="I6" s="5">
        <v>2.7</v>
      </c>
      <c r="J6" s="5"/>
      <c r="M6">
        <f t="shared" ref="M6:M11" si="1">E6*100</f>
        <v>0</v>
      </c>
      <c r="N6">
        <f t="shared" ref="N6:N11" si="2">H6*100</f>
        <v>800</v>
      </c>
      <c r="O6">
        <f t="shared" ref="O6:O18" si="3">N6-M6</f>
        <v>800</v>
      </c>
      <c r="P6" s="6">
        <f t="shared" ref="P6:P18" si="4">1000+O6*I6</f>
        <v>3160</v>
      </c>
    </row>
    <row r="7" spans="1:17" x14ac:dyDescent="0.15">
      <c r="B7" s="16" t="s">
        <v>69</v>
      </c>
      <c r="C7" s="19"/>
      <c r="D7" s="27"/>
      <c r="E7" s="21"/>
      <c r="F7" s="14">
        <f t="shared" si="0"/>
        <v>0</v>
      </c>
      <c r="H7" s="5">
        <v>10.25</v>
      </c>
      <c r="I7" s="5">
        <v>2.1</v>
      </c>
      <c r="J7" s="5"/>
      <c r="M7">
        <f t="shared" si="1"/>
        <v>0</v>
      </c>
      <c r="N7">
        <f t="shared" si="2"/>
        <v>1025</v>
      </c>
      <c r="O7">
        <f>N7-M7</f>
        <v>1025</v>
      </c>
      <c r="P7" s="6">
        <f>1000+O7*I7</f>
        <v>3152.5</v>
      </c>
    </row>
    <row r="8" spans="1:17" x14ac:dyDescent="0.15">
      <c r="B8" s="16" t="s">
        <v>13</v>
      </c>
      <c r="C8" s="19"/>
      <c r="D8" s="27"/>
      <c r="E8" s="21"/>
      <c r="F8" s="14">
        <f t="shared" si="0"/>
        <v>0</v>
      </c>
      <c r="H8" s="5">
        <v>12.6</v>
      </c>
      <c r="I8" s="5">
        <v>1.6</v>
      </c>
      <c r="J8" s="5"/>
      <c r="M8">
        <f t="shared" si="1"/>
        <v>0</v>
      </c>
      <c r="N8">
        <f t="shared" si="2"/>
        <v>1260</v>
      </c>
      <c r="O8">
        <f t="shared" si="3"/>
        <v>1260</v>
      </c>
      <c r="P8" s="6">
        <f t="shared" si="4"/>
        <v>3016</v>
      </c>
    </row>
    <row r="9" spans="1:17" x14ac:dyDescent="0.15">
      <c r="B9" s="16" t="s">
        <v>14</v>
      </c>
      <c r="C9" s="19"/>
      <c r="D9" s="27"/>
      <c r="E9" s="21"/>
      <c r="F9" s="14">
        <f t="shared" si="0"/>
        <v>0</v>
      </c>
      <c r="H9" s="5">
        <v>25.9</v>
      </c>
      <c r="I9" s="5">
        <v>0.78</v>
      </c>
      <c r="J9" s="5"/>
      <c r="M9">
        <f t="shared" si="1"/>
        <v>0</v>
      </c>
      <c r="N9">
        <f t="shared" si="2"/>
        <v>2590</v>
      </c>
      <c r="O9">
        <f t="shared" si="3"/>
        <v>2590</v>
      </c>
      <c r="P9" s="6">
        <f t="shared" si="4"/>
        <v>3020.2</v>
      </c>
    </row>
    <row r="10" spans="1:17" x14ac:dyDescent="0.15">
      <c r="B10" s="16" t="s">
        <v>15</v>
      </c>
      <c r="C10" s="19"/>
      <c r="D10" s="27"/>
      <c r="E10" s="21"/>
      <c r="F10" s="14">
        <f t="shared" si="0"/>
        <v>0</v>
      </c>
      <c r="H10" s="5">
        <v>41.2</v>
      </c>
      <c r="I10" s="5">
        <v>0.5</v>
      </c>
      <c r="J10" s="5"/>
      <c r="M10">
        <f t="shared" si="1"/>
        <v>0</v>
      </c>
      <c r="N10">
        <f t="shared" si="2"/>
        <v>4120</v>
      </c>
      <c r="O10">
        <f t="shared" si="3"/>
        <v>4120</v>
      </c>
      <c r="P10" s="6">
        <f t="shared" si="4"/>
        <v>3060</v>
      </c>
    </row>
    <row r="11" spans="1:17" x14ac:dyDescent="0.15">
      <c r="B11" s="15" t="s">
        <v>16</v>
      </c>
      <c r="C11" s="19"/>
      <c r="D11" s="30"/>
      <c r="E11" s="22"/>
      <c r="F11" s="14">
        <f t="shared" si="0"/>
        <v>0</v>
      </c>
      <c r="H11" s="5">
        <v>58</v>
      </c>
      <c r="I11" s="5">
        <v>0.38</v>
      </c>
      <c r="J11" s="5"/>
      <c r="M11">
        <f t="shared" si="1"/>
        <v>0</v>
      </c>
      <c r="N11">
        <f t="shared" si="2"/>
        <v>5800</v>
      </c>
      <c r="O11">
        <f t="shared" si="3"/>
        <v>5800</v>
      </c>
      <c r="P11" s="6">
        <f t="shared" si="4"/>
        <v>3204</v>
      </c>
    </row>
    <row r="12" spans="1:17" x14ac:dyDescent="0.15">
      <c r="B12" s="15" t="s">
        <v>9</v>
      </c>
      <c r="C12" s="19"/>
      <c r="D12" s="24"/>
      <c r="E12" s="22"/>
      <c r="F12" s="14">
        <f t="shared" ref="F12:F23" si="5">IF(P12&lt;0,0,IF(AND(E12=0,D12=0),0,ROUNDDOWN(P12,0)))</f>
        <v>0</v>
      </c>
      <c r="H12" s="5">
        <v>96</v>
      </c>
      <c r="I12" s="5">
        <v>2.4</v>
      </c>
      <c r="J12" s="5"/>
      <c r="M12">
        <f>(D12*60+E12)*10</f>
        <v>0</v>
      </c>
      <c r="N12">
        <f>H12*10</f>
        <v>960</v>
      </c>
      <c r="O12">
        <f t="shared" si="3"/>
        <v>960</v>
      </c>
      <c r="P12" s="6">
        <f t="shared" si="4"/>
        <v>3304</v>
      </c>
    </row>
    <row r="13" spans="1:17" x14ac:dyDescent="0.15">
      <c r="B13" s="15" t="s">
        <v>20</v>
      </c>
      <c r="C13" s="19"/>
      <c r="D13" s="24"/>
      <c r="E13" s="22"/>
      <c r="F13" s="14">
        <f t="shared" si="5"/>
        <v>0</v>
      </c>
      <c r="H13" s="5">
        <v>134</v>
      </c>
      <c r="I13" s="5">
        <v>1.5</v>
      </c>
      <c r="J13" s="5"/>
      <c r="M13">
        <f t="shared" ref="M13:M18" si="6">(D13*60+E13)*10</f>
        <v>0</v>
      </c>
      <c r="N13">
        <f t="shared" ref="N13:N18" si="7">H13*10</f>
        <v>1340</v>
      </c>
      <c r="O13">
        <f t="shared" si="3"/>
        <v>1340</v>
      </c>
      <c r="P13" s="6">
        <f t="shared" si="4"/>
        <v>3010</v>
      </c>
    </row>
    <row r="14" spans="1:17" x14ac:dyDescent="0.15">
      <c r="B14" s="15" t="s">
        <v>17</v>
      </c>
      <c r="C14" s="19"/>
      <c r="D14" s="24"/>
      <c r="E14" s="22"/>
      <c r="F14" s="14">
        <f t="shared" si="5"/>
        <v>0</v>
      </c>
      <c r="H14" s="5">
        <v>181.5</v>
      </c>
      <c r="I14" s="5">
        <v>1</v>
      </c>
      <c r="J14" s="5"/>
      <c r="M14">
        <f t="shared" si="6"/>
        <v>0</v>
      </c>
      <c r="N14">
        <f t="shared" si="7"/>
        <v>1815</v>
      </c>
      <c r="O14">
        <f t="shared" si="3"/>
        <v>1815</v>
      </c>
      <c r="P14" s="6">
        <f t="shared" si="4"/>
        <v>2815</v>
      </c>
    </row>
    <row r="15" spans="1:17" x14ac:dyDescent="0.15">
      <c r="B15" s="15" t="s">
        <v>18</v>
      </c>
      <c r="C15" s="19"/>
      <c r="D15" s="24"/>
      <c r="E15" s="22"/>
      <c r="F15" s="14">
        <f t="shared" si="5"/>
        <v>0</v>
      </c>
      <c r="H15" s="5">
        <v>279</v>
      </c>
      <c r="I15" s="5">
        <v>0.6</v>
      </c>
      <c r="J15" s="5"/>
      <c r="M15">
        <f t="shared" si="6"/>
        <v>0</v>
      </c>
      <c r="N15">
        <f t="shared" si="7"/>
        <v>2790</v>
      </c>
      <c r="O15">
        <f t="shared" si="3"/>
        <v>2790</v>
      </c>
      <c r="P15" s="6">
        <f t="shared" si="4"/>
        <v>2674</v>
      </c>
    </row>
    <row r="16" spans="1:17" x14ac:dyDescent="0.15">
      <c r="B16" s="15" t="s">
        <v>19</v>
      </c>
      <c r="C16" s="19"/>
      <c r="D16" s="24"/>
      <c r="E16" s="22"/>
      <c r="F16" s="14">
        <f t="shared" si="5"/>
        <v>0</v>
      </c>
      <c r="H16" s="5">
        <v>393</v>
      </c>
      <c r="I16" s="5">
        <v>0.4</v>
      </c>
      <c r="J16" s="5"/>
      <c r="M16">
        <f t="shared" si="6"/>
        <v>0</v>
      </c>
      <c r="N16">
        <f t="shared" si="7"/>
        <v>3930</v>
      </c>
      <c r="O16">
        <f t="shared" si="3"/>
        <v>3930</v>
      </c>
      <c r="P16" s="6">
        <f t="shared" si="4"/>
        <v>2572</v>
      </c>
    </row>
    <row r="17" spans="2:17" x14ac:dyDescent="0.15">
      <c r="B17" s="15" t="s">
        <v>21</v>
      </c>
      <c r="C17" s="19"/>
      <c r="D17" s="24"/>
      <c r="E17" s="22"/>
      <c r="F17" s="14">
        <f t="shared" si="5"/>
        <v>0</v>
      </c>
      <c r="H17" s="5">
        <v>615</v>
      </c>
      <c r="I17" s="5">
        <v>0.23</v>
      </c>
      <c r="J17" s="5"/>
      <c r="M17">
        <f t="shared" si="6"/>
        <v>0</v>
      </c>
      <c r="N17">
        <f t="shared" si="7"/>
        <v>6150</v>
      </c>
      <c r="O17">
        <f t="shared" si="3"/>
        <v>6150</v>
      </c>
      <c r="P17" s="6">
        <f t="shared" si="4"/>
        <v>2414.5</v>
      </c>
    </row>
    <row r="18" spans="2:17" x14ac:dyDescent="0.15">
      <c r="B18" s="15" t="s">
        <v>22</v>
      </c>
      <c r="C18" s="19"/>
      <c r="D18" s="24"/>
      <c r="E18" s="22"/>
      <c r="F18" s="14">
        <f t="shared" si="5"/>
        <v>0</v>
      </c>
      <c r="H18" s="5">
        <v>1080</v>
      </c>
      <c r="I18" s="5">
        <v>0.13</v>
      </c>
      <c r="J18" s="5"/>
      <c r="M18">
        <f t="shared" si="6"/>
        <v>0</v>
      </c>
      <c r="N18">
        <f t="shared" si="7"/>
        <v>10800</v>
      </c>
      <c r="O18">
        <f t="shared" si="3"/>
        <v>10800</v>
      </c>
      <c r="P18" s="6">
        <f t="shared" si="4"/>
        <v>2404</v>
      </c>
    </row>
    <row r="19" spans="2:17" x14ac:dyDescent="0.15">
      <c r="B19" s="16" t="s">
        <v>17</v>
      </c>
      <c r="C19" s="31" t="s">
        <v>137</v>
      </c>
      <c r="D19" s="25"/>
      <c r="E19" s="21"/>
      <c r="F19" s="14">
        <f t="shared" si="5"/>
        <v>0</v>
      </c>
      <c r="H19" s="5">
        <v>270</v>
      </c>
      <c r="I19" s="5">
        <v>0.7</v>
      </c>
      <c r="J19" s="5"/>
      <c r="M19">
        <f>(D19*60+E19)*10</f>
        <v>0</v>
      </c>
      <c r="N19">
        <f>H19*10</f>
        <v>2700</v>
      </c>
      <c r="O19">
        <f t="shared" ref="O19:O28" si="8">N19-M19</f>
        <v>2700</v>
      </c>
      <c r="P19" s="6">
        <f t="shared" ref="P19:P28" si="9">1000+O19*I19</f>
        <v>2890</v>
      </c>
    </row>
    <row r="20" spans="2:17" x14ac:dyDescent="0.15">
      <c r="B20" s="16" t="s">
        <v>19</v>
      </c>
      <c r="C20" s="31" t="s">
        <v>137</v>
      </c>
      <c r="D20" s="25"/>
      <c r="E20" s="21"/>
      <c r="F20" s="14">
        <f t="shared" si="5"/>
        <v>0</v>
      </c>
      <c r="H20" s="5">
        <v>578</v>
      </c>
      <c r="I20" s="5">
        <v>0.3</v>
      </c>
      <c r="J20" s="5"/>
      <c r="M20">
        <f>(D20*60+E20)*10</f>
        <v>0</v>
      </c>
      <c r="N20">
        <f>H20*10</f>
        <v>5780</v>
      </c>
      <c r="O20">
        <f t="shared" si="8"/>
        <v>5780</v>
      </c>
      <c r="P20" s="6">
        <f t="shared" si="9"/>
        <v>2734</v>
      </c>
    </row>
    <row r="21" spans="2:17" x14ac:dyDescent="0.15">
      <c r="B21" s="16" t="s">
        <v>21</v>
      </c>
      <c r="C21" s="31" t="s">
        <v>137</v>
      </c>
      <c r="D21" s="25"/>
      <c r="E21" s="21"/>
      <c r="F21" s="14">
        <f t="shared" si="5"/>
        <v>0</v>
      </c>
      <c r="H21" s="5">
        <v>906</v>
      </c>
      <c r="I21" s="5">
        <v>0.18</v>
      </c>
      <c r="J21" s="5"/>
      <c r="M21">
        <f>(D21*60+E21)*10</f>
        <v>0</v>
      </c>
      <c r="N21">
        <f>H21*10</f>
        <v>9060</v>
      </c>
      <c r="O21">
        <f t="shared" si="8"/>
        <v>9060</v>
      </c>
      <c r="P21" s="6">
        <f t="shared" si="9"/>
        <v>2630.8</v>
      </c>
    </row>
    <row r="22" spans="2:17" x14ac:dyDescent="0.15">
      <c r="B22" s="16" t="s">
        <v>22</v>
      </c>
      <c r="C22" s="31" t="s">
        <v>137</v>
      </c>
      <c r="D22" s="25"/>
      <c r="E22" s="21"/>
      <c r="F22" s="14">
        <f t="shared" si="5"/>
        <v>0</v>
      </c>
      <c r="H22" s="5">
        <v>1555</v>
      </c>
      <c r="I22" s="5">
        <v>0.1</v>
      </c>
      <c r="J22" s="5"/>
      <c r="M22">
        <f>(D22*60+E22)*10</f>
        <v>0</v>
      </c>
      <c r="N22">
        <f>H22*10</f>
        <v>15550</v>
      </c>
      <c r="O22">
        <f t="shared" si="8"/>
        <v>15550</v>
      </c>
      <c r="P22" s="6">
        <f t="shared" si="9"/>
        <v>2555</v>
      </c>
    </row>
    <row r="23" spans="2:17" x14ac:dyDescent="0.15">
      <c r="B23" s="16" t="s">
        <v>23</v>
      </c>
      <c r="C23" s="31" t="s">
        <v>137</v>
      </c>
      <c r="D23" s="25"/>
      <c r="E23" s="21"/>
      <c r="F23" s="14">
        <f t="shared" si="5"/>
        <v>0</v>
      </c>
      <c r="H23" s="5">
        <v>3390</v>
      </c>
      <c r="I23" s="5">
        <v>0.05</v>
      </c>
      <c r="J23" s="5"/>
      <c r="M23">
        <f>(D23*60+E23)*10</f>
        <v>0</v>
      </c>
      <c r="N23">
        <f>H23*10</f>
        <v>33900</v>
      </c>
      <c r="O23">
        <f t="shared" si="8"/>
        <v>33900</v>
      </c>
      <c r="P23" s="6">
        <f t="shared" si="9"/>
        <v>2695</v>
      </c>
    </row>
    <row r="24" spans="2:17" x14ac:dyDescent="0.15">
      <c r="B24" s="16" t="s">
        <v>113</v>
      </c>
      <c r="C24" s="31" t="s">
        <v>118</v>
      </c>
      <c r="D24" s="26"/>
      <c r="E24" s="21"/>
      <c r="F24" s="14">
        <f>IF(P24&lt;0,0,IF(E24=0,0,ROUNDDOWN(P24,0)))</f>
        <v>0</v>
      </c>
      <c r="H24" s="5">
        <v>15</v>
      </c>
      <c r="I24" s="5">
        <v>1</v>
      </c>
      <c r="J24" s="5"/>
      <c r="M24">
        <f>E24*100</f>
        <v>0</v>
      </c>
      <c r="N24">
        <f>H24*100</f>
        <v>1500</v>
      </c>
      <c r="O24">
        <f t="shared" si="8"/>
        <v>1500</v>
      </c>
      <c r="P24" s="6">
        <f t="shared" si="9"/>
        <v>2500</v>
      </c>
    </row>
    <row r="25" spans="2:17" x14ac:dyDescent="0.15">
      <c r="B25" s="16" t="s">
        <v>81</v>
      </c>
      <c r="C25" s="31" t="s">
        <v>98</v>
      </c>
      <c r="D25" s="27"/>
      <c r="E25" s="21"/>
      <c r="F25" s="14">
        <f>IF(P25&lt;0,0,IF(E25=0,0,ROUNDDOWN(P25,0)))</f>
        <v>0</v>
      </c>
      <c r="H25" s="5">
        <v>30</v>
      </c>
      <c r="I25" s="5">
        <v>0.5</v>
      </c>
      <c r="J25" s="5"/>
      <c r="M25">
        <f>E25*100</f>
        <v>0</v>
      </c>
      <c r="N25">
        <f>H25*100</f>
        <v>3000</v>
      </c>
      <c r="O25">
        <f t="shared" si="8"/>
        <v>3000</v>
      </c>
      <c r="P25" s="6">
        <f t="shared" si="9"/>
        <v>2500</v>
      </c>
    </row>
    <row r="26" spans="2:17" x14ac:dyDescent="0.15">
      <c r="B26" s="16" t="s">
        <v>102</v>
      </c>
      <c r="C26" s="31" t="s">
        <v>103</v>
      </c>
      <c r="D26" s="27"/>
      <c r="E26" s="21"/>
      <c r="F26" s="14">
        <f>IF(P26&lt;0,0,IF(E26=0,0,ROUNDDOWN(P26,0)))</f>
        <v>0</v>
      </c>
      <c r="H26" s="5">
        <v>45.9</v>
      </c>
      <c r="I26" s="5">
        <v>0.4</v>
      </c>
      <c r="J26" s="5"/>
      <c r="M26">
        <f>E26*100</f>
        <v>0</v>
      </c>
      <c r="N26">
        <f>H26*100</f>
        <v>4590</v>
      </c>
      <c r="O26">
        <f t="shared" si="8"/>
        <v>4590</v>
      </c>
      <c r="P26" s="6">
        <f t="shared" si="9"/>
        <v>2836</v>
      </c>
    </row>
    <row r="27" spans="2:17" x14ac:dyDescent="0.15">
      <c r="B27" s="16" t="s">
        <v>25</v>
      </c>
      <c r="C27" s="31" t="s">
        <v>112</v>
      </c>
      <c r="D27" s="24"/>
      <c r="E27" s="22"/>
      <c r="F27" s="14">
        <f>IF(P27&lt;0,0,IF(AND(E27=0,D27=0),0,ROUNDDOWN(P27,0)))</f>
        <v>0</v>
      </c>
      <c r="H27" s="5">
        <v>430</v>
      </c>
      <c r="I27" s="5">
        <v>0.35</v>
      </c>
      <c r="J27" s="5"/>
      <c r="M27">
        <f>(D27*60+E27)*10</f>
        <v>0</v>
      </c>
      <c r="N27">
        <f>H27*10</f>
        <v>4300</v>
      </c>
      <c r="O27">
        <f>N27-M27</f>
        <v>4300</v>
      </c>
      <c r="P27" s="6">
        <f>1000+O27*I27</f>
        <v>2505</v>
      </c>
    </row>
    <row r="28" spans="2:17" x14ac:dyDescent="0.15">
      <c r="B28" s="16" t="s">
        <v>26</v>
      </c>
      <c r="C28" s="31" t="s">
        <v>112</v>
      </c>
      <c r="D28" s="24"/>
      <c r="E28" s="22"/>
      <c r="F28" s="14">
        <f>IF(P28&lt;0,0,IF(AND(E28=0,D28=0),0,ROUNDDOWN(P28,0)))</f>
        <v>0</v>
      </c>
      <c r="H28" s="5">
        <v>700</v>
      </c>
      <c r="I28" s="5">
        <v>0.2</v>
      </c>
      <c r="J28" s="5"/>
      <c r="M28">
        <f>(D28*60+E28)*10</f>
        <v>0</v>
      </c>
      <c r="N28">
        <f>H28*10</f>
        <v>7000</v>
      </c>
      <c r="O28">
        <f t="shared" si="8"/>
        <v>7000</v>
      </c>
      <c r="P28" s="6">
        <f t="shared" si="9"/>
        <v>2400</v>
      </c>
    </row>
    <row r="29" spans="2:17" ht="16" x14ac:dyDescent="0.2">
      <c r="B29" s="7"/>
      <c r="C29" s="7"/>
      <c r="D29" s="7"/>
      <c r="E29" s="39" t="s">
        <v>34</v>
      </c>
      <c r="F29" s="4"/>
      <c r="G29" s="4"/>
      <c r="H29" s="8"/>
      <c r="I29" s="8"/>
      <c r="J29" s="8"/>
      <c r="K29" s="4"/>
      <c r="L29" s="4"/>
      <c r="M29" s="4"/>
      <c r="N29" s="4"/>
      <c r="O29" s="4"/>
      <c r="P29" s="4"/>
      <c r="Q29" s="4"/>
    </row>
    <row r="30" spans="2:17" x14ac:dyDescent="0.15">
      <c r="B30" s="16" t="s">
        <v>10</v>
      </c>
      <c r="C30" s="18"/>
      <c r="D30" s="26"/>
      <c r="E30" s="21"/>
      <c r="F30" s="14">
        <f>IF(P30&lt;0,0,IF(E30=0,0,ROUNDDOWN(P30,0)))</f>
        <v>0</v>
      </c>
      <c r="H30" s="5">
        <v>1.66</v>
      </c>
      <c r="I30" s="5">
        <v>7.5</v>
      </c>
      <c r="J30" s="5"/>
      <c r="M30">
        <f t="shared" ref="M30:M39" si="10">E30*100</f>
        <v>0</v>
      </c>
      <c r="N30">
        <f t="shared" ref="N30:N39" si="11">H30*100</f>
        <v>166</v>
      </c>
      <c r="O30">
        <f t="shared" ref="O30:O39" si="12">N30-M30</f>
        <v>166</v>
      </c>
      <c r="P30" s="6">
        <f t="shared" ref="P30:P36" si="13">1000-O30*I30</f>
        <v>-245</v>
      </c>
    </row>
    <row r="31" spans="2:17" x14ac:dyDescent="0.15">
      <c r="B31" s="16" t="s">
        <v>27</v>
      </c>
      <c r="C31" s="19"/>
      <c r="D31" s="27"/>
      <c r="E31" s="21"/>
      <c r="F31" s="14">
        <f t="shared" ref="F31:F39" si="14">IF(P31&lt;0,0,IF(E31=0,0,ROUNDDOWN(P31,0)))</f>
        <v>0</v>
      </c>
      <c r="H31" s="5">
        <v>1.36</v>
      </c>
      <c r="I31" s="5">
        <v>9.5</v>
      </c>
      <c r="J31" s="5"/>
      <c r="M31">
        <f t="shared" si="10"/>
        <v>0</v>
      </c>
      <c r="N31">
        <f t="shared" si="11"/>
        <v>136</v>
      </c>
      <c r="O31">
        <f t="shared" si="12"/>
        <v>136</v>
      </c>
      <c r="P31" s="6">
        <f t="shared" si="13"/>
        <v>-292</v>
      </c>
    </row>
    <row r="32" spans="2:17" x14ac:dyDescent="0.15">
      <c r="B32" s="16" t="s">
        <v>28</v>
      </c>
      <c r="C32" s="19"/>
      <c r="D32" s="27"/>
      <c r="E32" s="21"/>
      <c r="F32" s="14">
        <f t="shared" si="14"/>
        <v>0</v>
      </c>
      <c r="H32" s="5">
        <v>3.2</v>
      </c>
      <c r="I32" s="5">
        <f>IF(E32&lt;0.8*H32,L32,Q32)</f>
        <v>8</v>
      </c>
      <c r="J32" s="5">
        <v>2</v>
      </c>
      <c r="K32" s="5">
        <v>4</v>
      </c>
      <c r="L32" s="5">
        <v>8</v>
      </c>
      <c r="M32">
        <f t="shared" si="10"/>
        <v>0</v>
      </c>
      <c r="N32">
        <f t="shared" si="11"/>
        <v>320</v>
      </c>
      <c r="O32">
        <f t="shared" si="12"/>
        <v>320</v>
      </c>
      <c r="P32" s="6">
        <f>IF(E32&lt;0.8*H32,1000-((N32-0.8*N32)*K32+(O32-(N32-N32*0.8))*L32),1000-O32*I32)</f>
        <v>-1304</v>
      </c>
      <c r="Q32" s="5">
        <f>IF(E32&gt;H32,J32,K32)</f>
        <v>4</v>
      </c>
    </row>
    <row r="33" spans="2:17" x14ac:dyDescent="0.15">
      <c r="B33" s="16" t="s">
        <v>11</v>
      </c>
      <c r="C33" s="19"/>
      <c r="D33" s="27"/>
      <c r="E33" s="21"/>
      <c r="F33" s="14">
        <f t="shared" si="14"/>
        <v>0</v>
      </c>
      <c r="H33" s="5">
        <v>5.55</v>
      </c>
      <c r="I33" s="5">
        <v>2.1</v>
      </c>
      <c r="J33" s="5"/>
      <c r="M33">
        <f t="shared" si="10"/>
        <v>0</v>
      </c>
      <c r="N33">
        <f t="shared" si="11"/>
        <v>555</v>
      </c>
      <c r="O33">
        <f t="shared" si="12"/>
        <v>555</v>
      </c>
      <c r="P33" s="6">
        <f t="shared" si="13"/>
        <v>-165.5</v>
      </c>
    </row>
    <row r="34" spans="2:17" x14ac:dyDescent="0.15">
      <c r="B34" s="16" t="s">
        <v>29</v>
      </c>
      <c r="C34" s="19"/>
      <c r="D34" s="27"/>
      <c r="E34" s="21"/>
      <c r="F34" s="14">
        <f t="shared" si="14"/>
        <v>0</v>
      </c>
      <c r="H34" s="5">
        <v>2.62</v>
      </c>
      <c r="I34" s="5">
        <v>6</v>
      </c>
      <c r="J34" s="5"/>
      <c r="M34">
        <f t="shared" si="10"/>
        <v>0</v>
      </c>
      <c r="N34">
        <f t="shared" si="11"/>
        <v>262</v>
      </c>
      <c r="O34">
        <f t="shared" si="12"/>
        <v>262</v>
      </c>
      <c r="P34" s="6">
        <f t="shared" si="13"/>
        <v>-572</v>
      </c>
    </row>
    <row r="35" spans="2:17" x14ac:dyDescent="0.15">
      <c r="B35" s="16" t="s">
        <v>30</v>
      </c>
      <c r="C35" s="19"/>
      <c r="D35" s="27"/>
      <c r="E35" s="21"/>
      <c r="F35" s="14">
        <f t="shared" si="14"/>
        <v>0</v>
      </c>
      <c r="H35" s="5">
        <v>12.2</v>
      </c>
      <c r="I35" s="5">
        <v>1</v>
      </c>
      <c r="J35" s="5"/>
      <c r="M35">
        <f t="shared" si="10"/>
        <v>0</v>
      </c>
      <c r="N35">
        <f t="shared" si="11"/>
        <v>1220</v>
      </c>
      <c r="O35">
        <f t="shared" si="12"/>
        <v>1220</v>
      </c>
      <c r="P35" s="6">
        <f t="shared" si="13"/>
        <v>-220</v>
      </c>
    </row>
    <row r="36" spans="2:17" x14ac:dyDescent="0.15">
      <c r="B36" s="16" t="s">
        <v>86</v>
      </c>
      <c r="C36" s="52" t="s">
        <v>99</v>
      </c>
      <c r="D36" s="50"/>
      <c r="E36" s="21"/>
      <c r="F36" s="14">
        <f t="shared" si="14"/>
        <v>0</v>
      </c>
      <c r="H36" s="5">
        <v>12.6</v>
      </c>
      <c r="I36" s="5">
        <v>1.2</v>
      </c>
      <c r="J36" s="5">
        <v>0.3</v>
      </c>
      <c r="K36" s="5">
        <v>0.6</v>
      </c>
      <c r="L36" s="5">
        <v>1.2</v>
      </c>
      <c r="M36">
        <f t="shared" si="10"/>
        <v>0</v>
      </c>
      <c r="N36">
        <f t="shared" si="11"/>
        <v>1260</v>
      </c>
      <c r="O36">
        <f t="shared" si="12"/>
        <v>1260</v>
      </c>
      <c r="P36" s="6">
        <f t="shared" si="13"/>
        <v>-512</v>
      </c>
      <c r="Q36" s="5">
        <f>IF(E36&gt;H36,J36,K36)</f>
        <v>0.6</v>
      </c>
    </row>
    <row r="37" spans="2:17" x14ac:dyDescent="0.15">
      <c r="B37" s="16" t="s">
        <v>87</v>
      </c>
      <c r="C37" s="31" t="s">
        <v>109</v>
      </c>
      <c r="D37" s="27"/>
      <c r="E37" s="21"/>
      <c r="F37" s="14">
        <f t="shared" si="14"/>
        <v>0</v>
      </c>
      <c r="H37" s="5">
        <v>40</v>
      </c>
      <c r="I37" s="5">
        <f>IF(E37&lt;0.8*H37,L37,Q37)</f>
        <v>0.6</v>
      </c>
      <c r="J37" s="5">
        <v>0.15</v>
      </c>
      <c r="K37" s="5">
        <v>0.3</v>
      </c>
      <c r="L37" s="5">
        <v>0.6</v>
      </c>
      <c r="M37">
        <f t="shared" si="10"/>
        <v>0</v>
      </c>
      <c r="N37">
        <f t="shared" si="11"/>
        <v>4000</v>
      </c>
      <c r="O37">
        <f t="shared" si="12"/>
        <v>4000</v>
      </c>
      <c r="P37" s="6">
        <f>IF(E37&lt;0.8*H37,1000-((N37-0.8*N37)*K37+(O37-(N37-N37*0.8))*L37),1000-O37*I37)</f>
        <v>-1160</v>
      </c>
      <c r="Q37" s="5">
        <f>IF(E37&gt;H37,J37,K37)</f>
        <v>0.3</v>
      </c>
    </row>
    <row r="38" spans="2:17" x14ac:dyDescent="0.15">
      <c r="B38" s="51" t="s">
        <v>88</v>
      </c>
      <c r="C38" s="52" t="s">
        <v>143</v>
      </c>
      <c r="D38" s="27"/>
      <c r="E38" s="21"/>
      <c r="F38" s="14">
        <f t="shared" si="14"/>
        <v>0</v>
      </c>
      <c r="H38" s="5">
        <v>44</v>
      </c>
      <c r="I38" s="5">
        <f>IF(E38&lt;0.8*H38,L38,Q38)</f>
        <v>0.5</v>
      </c>
      <c r="J38" s="5">
        <v>0.12</v>
      </c>
      <c r="K38" s="5">
        <v>0.25</v>
      </c>
      <c r="L38" s="5">
        <v>0.5</v>
      </c>
      <c r="M38">
        <f t="shared" si="10"/>
        <v>0</v>
      </c>
      <c r="N38">
        <f t="shared" si="11"/>
        <v>4400</v>
      </c>
      <c r="O38">
        <f t="shared" si="12"/>
        <v>4400</v>
      </c>
      <c r="P38" s="6">
        <f>IF(E38&lt;0.8*H38,1000-((N38-0.8*N38)*K38+(O38-(N38-N38*0.8))*L38),1000-O38*I38)</f>
        <v>-980</v>
      </c>
      <c r="Q38" s="5">
        <f>IF(E38&gt;H38,J38,K38)</f>
        <v>0.25</v>
      </c>
    </row>
    <row r="39" spans="2:17" x14ac:dyDescent="0.15">
      <c r="B39" s="51" t="s">
        <v>89</v>
      </c>
      <c r="C39" s="52" t="s">
        <v>144</v>
      </c>
      <c r="D39" s="27"/>
      <c r="E39" s="21"/>
      <c r="F39" s="14">
        <f t="shared" si="14"/>
        <v>0</v>
      </c>
      <c r="H39" s="5">
        <v>42</v>
      </c>
      <c r="I39" s="5">
        <f>IF(E39&lt;0.8*H39,L39,Q39)</f>
        <v>0.5</v>
      </c>
      <c r="J39" s="5">
        <v>0.13</v>
      </c>
      <c r="K39" s="5">
        <v>0.25</v>
      </c>
      <c r="L39" s="5">
        <v>0.5</v>
      </c>
      <c r="M39">
        <f t="shared" si="10"/>
        <v>0</v>
      </c>
      <c r="N39">
        <f t="shared" si="11"/>
        <v>4200</v>
      </c>
      <c r="O39">
        <f t="shared" si="12"/>
        <v>4200</v>
      </c>
      <c r="P39" s="6">
        <f>IF(E39&lt;0.8*H39,1000-((N39-0.8*N39)*K39+(O39-(N39-N39*0.8))*L39),1000-O39*I39)</f>
        <v>-890</v>
      </c>
      <c r="Q39" s="5">
        <f>IF(E39&gt;H39,J39,K39)</f>
        <v>0.25</v>
      </c>
    </row>
    <row r="41" spans="2:17" x14ac:dyDescent="0.15">
      <c r="B41" s="60" t="s">
        <v>47</v>
      </c>
      <c r="C41" s="60"/>
      <c r="D41" s="60"/>
      <c r="E41" s="60"/>
      <c r="F41" s="60"/>
    </row>
    <row r="42" spans="2:17" x14ac:dyDescent="0.15">
      <c r="B42" s="60" t="s">
        <v>36</v>
      </c>
      <c r="C42" s="60"/>
      <c r="D42" s="60"/>
      <c r="E42" s="60"/>
      <c r="F42" s="60"/>
    </row>
    <row r="43" spans="2:17" x14ac:dyDescent="0.15">
      <c r="B43" s="60" t="s">
        <v>35</v>
      </c>
      <c r="C43" s="60"/>
      <c r="D43" s="60"/>
      <c r="E43" s="60"/>
      <c r="F43" s="60"/>
    </row>
    <row r="45" spans="2:17" ht="16" x14ac:dyDescent="0.2">
      <c r="B45" s="58" t="s">
        <v>146</v>
      </c>
      <c r="C45" s="59"/>
      <c r="D45" s="59"/>
      <c r="E45" s="59"/>
      <c r="F45" s="59"/>
    </row>
  </sheetData>
  <sheetProtection password="CCED" sheet="1" objects="1" scenarios="1" selectLockedCells="1"/>
  <mergeCells count="6">
    <mergeCell ref="D4:E4"/>
    <mergeCell ref="B4:C4"/>
    <mergeCell ref="B45:F45"/>
    <mergeCell ref="B41:F41"/>
    <mergeCell ref="B42:F42"/>
    <mergeCell ref="B43:F43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2"/>
  </sheetPr>
  <dimension ref="A1:Q43"/>
  <sheetViews>
    <sheetView showGridLines="0" showRowColHeaders="0" showOutlineSymbols="0" workbookViewId="0">
      <selection activeCell="E10" sqref="E10"/>
    </sheetView>
  </sheetViews>
  <sheetFormatPr baseColWidth="10" defaultColWidth="8.83203125" defaultRowHeight="13" x14ac:dyDescent="0.15"/>
  <cols>
    <col min="1" max="1" width="11.5" customWidth="1"/>
    <col min="2" max="2" width="15.33203125" customWidth="1"/>
    <col min="3" max="3" width="14.6640625" customWidth="1"/>
    <col min="4" max="6" width="11.5" customWidth="1"/>
    <col min="7" max="7" width="6.33203125" hidden="1" customWidth="1"/>
    <col min="8" max="9" width="11.5" hidden="1" customWidth="1"/>
    <col min="10" max="10" width="6.6640625" hidden="1" customWidth="1"/>
    <col min="11" max="11" width="7.33203125" hidden="1" customWidth="1"/>
    <col min="12" max="12" width="7.6640625" hidden="1" customWidth="1"/>
    <col min="13" max="13" width="6.33203125" hidden="1" customWidth="1"/>
    <col min="14" max="15" width="11.5" hidden="1" customWidth="1"/>
    <col min="16" max="16" width="13" hidden="1" customWidth="1"/>
    <col min="17" max="17" width="11.5" hidden="1" customWidth="1"/>
    <col min="18" max="18" width="0" hidden="1" customWidth="1"/>
    <col min="19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63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56" t="s">
        <v>1</v>
      </c>
      <c r="E4" s="57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7" t="s">
        <v>32</v>
      </c>
      <c r="E5" s="38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6" t="s">
        <v>8</v>
      </c>
      <c r="C6" s="18"/>
      <c r="D6" s="26"/>
      <c r="E6" s="21"/>
      <c r="F6" s="14">
        <f t="shared" ref="F6:F11" si="0">IF(P6&lt;0,0,IF(E6=0,0,ROUNDDOWN(P6,0)))</f>
        <v>0</v>
      </c>
      <c r="H6" s="5">
        <v>7.4</v>
      </c>
      <c r="I6" s="5">
        <v>2.7</v>
      </c>
      <c r="J6" s="5"/>
      <c r="M6">
        <f t="shared" ref="M6:M11" si="1">E6*100</f>
        <v>0</v>
      </c>
      <c r="N6">
        <f t="shared" ref="N6:N11" si="2">H6*100</f>
        <v>740</v>
      </c>
      <c r="O6">
        <f>N6-M6</f>
        <v>740</v>
      </c>
      <c r="P6" s="6">
        <f>1000+O6*I6</f>
        <v>2998</v>
      </c>
    </row>
    <row r="7" spans="1:17" x14ac:dyDescent="0.15">
      <c r="B7" s="16" t="s">
        <v>69</v>
      </c>
      <c r="C7" s="19"/>
      <c r="D7" s="27"/>
      <c r="E7" s="21">
        <v>9.91</v>
      </c>
      <c r="F7" s="14">
        <f t="shared" si="0"/>
        <v>931</v>
      </c>
      <c r="H7" s="5">
        <v>9.6</v>
      </c>
      <c r="I7" s="5">
        <v>2.2000000000000002</v>
      </c>
      <c r="J7" s="5"/>
      <c r="M7">
        <f t="shared" si="1"/>
        <v>991</v>
      </c>
      <c r="N7">
        <f t="shared" si="2"/>
        <v>960</v>
      </c>
      <c r="O7">
        <f>N7-M7</f>
        <v>-31</v>
      </c>
      <c r="P7" s="6">
        <f>1000+O7*I7</f>
        <v>931.8</v>
      </c>
    </row>
    <row r="8" spans="1:17" x14ac:dyDescent="0.15">
      <c r="B8" s="16" t="s">
        <v>13</v>
      </c>
      <c r="C8" s="19"/>
      <c r="D8" s="27"/>
      <c r="E8" s="21">
        <v>11.7</v>
      </c>
      <c r="F8" s="14">
        <f t="shared" si="0"/>
        <v>1000</v>
      </c>
      <c r="H8" s="5">
        <v>11.7</v>
      </c>
      <c r="I8" s="5">
        <v>1.7</v>
      </c>
      <c r="J8" s="5"/>
      <c r="M8">
        <f t="shared" si="1"/>
        <v>1170</v>
      </c>
      <c r="N8">
        <f t="shared" si="2"/>
        <v>1170</v>
      </c>
      <c r="O8">
        <f t="shared" ref="O8:O23" si="3">N8-M8</f>
        <v>0</v>
      </c>
      <c r="P8" s="6">
        <f t="shared" ref="P8:P23" si="4">1000+O8*I8</f>
        <v>1000</v>
      </c>
    </row>
    <row r="9" spans="1:17" x14ac:dyDescent="0.15">
      <c r="B9" s="16" t="s">
        <v>14</v>
      </c>
      <c r="C9" s="19"/>
      <c r="D9" s="27"/>
      <c r="E9" s="21">
        <v>21.81</v>
      </c>
      <c r="F9" s="14">
        <f t="shared" si="0"/>
        <v>1143</v>
      </c>
      <c r="H9" s="5">
        <v>23.5</v>
      </c>
      <c r="I9" s="5">
        <v>0.85</v>
      </c>
      <c r="J9" s="5"/>
      <c r="M9">
        <f t="shared" si="1"/>
        <v>2181</v>
      </c>
      <c r="N9">
        <f t="shared" si="2"/>
        <v>2350</v>
      </c>
      <c r="O9">
        <f t="shared" si="3"/>
        <v>169</v>
      </c>
      <c r="P9" s="6">
        <f t="shared" si="4"/>
        <v>1143.6500000000001</v>
      </c>
    </row>
    <row r="10" spans="1:17" x14ac:dyDescent="0.15">
      <c r="B10" s="16" t="s">
        <v>15</v>
      </c>
      <c r="C10" s="19"/>
      <c r="D10" s="27"/>
      <c r="E10" s="21">
        <v>38.83</v>
      </c>
      <c r="F10" s="14">
        <f t="shared" si="0"/>
        <v>926</v>
      </c>
      <c r="H10" s="5">
        <v>37.6</v>
      </c>
      <c r="I10" s="5">
        <v>0.6</v>
      </c>
      <c r="J10" s="5"/>
      <c r="M10">
        <f t="shared" si="1"/>
        <v>3883</v>
      </c>
      <c r="N10">
        <f t="shared" si="2"/>
        <v>3760</v>
      </c>
      <c r="O10">
        <f t="shared" si="3"/>
        <v>-123</v>
      </c>
      <c r="P10" s="6">
        <f t="shared" si="4"/>
        <v>926.2</v>
      </c>
    </row>
    <row r="11" spans="1:17" x14ac:dyDescent="0.15">
      <c r="B11" s="16" t="s">
        <v>16</v>
      </c>
      <c r="C11" s="19"/>
      <c r="D11" s="30"/>
      <c r="E11" s="21"/>
      <c r="F11" s="14">
        <f t="shared" si="0"/>
        <v>0</v>
      </c>
      <c r="H11" s="5">
        <v>52.5</v>
      </c>
      <c r="I11" s="5">
        <v>0.4</v>
      </c>
      <c r="J11" s="5"/>
      <c r="M11">
        <f t="shared" si="1"/>
        <v>0</v>
      </c>
      <c r="N11">
        <f t="shared" si="2"/>
        <v>5250</v>
      </c>
      <c r="O11">
        <f t="shared" si="3"/>
        <v>5250</v>
      </c>
      <c r="P11" s="6">
        <f t="shared" si="4"/>
        <v>3100</v>
      </c>
    </row>
    <row r="12" spans="1:17" x14ac:dyDescent="0.15">
      <c r="B12" s="15" t="s">
        <v>9</v>
      </c>
      <c r="C12" s="19"/>
      <c r="D12" s="23"/>
      <c r="E12" s="22"/>
      <c r="F12" s="14">
        <f t="shared" ref="F12:F22" si="5">IF(P12&lt;0,0,IF(AND(E12=0,D12=0),0,ROUNDDOWN(P12,0)))</f>
        <v>0</v>
      </c>
      <c r="H12" s="5">
        <v>86</v>
      </c>
      <c r="I12" s="5">
        <v>2.6</v>
      </c>
      <c r="J12" s="5"/>
      <c r="M12">
        <f t="shared" ref="M12:M17" si="6">(D12*60+E12)*10</f>
        <v>0</v>
      </c>
      <c r="N12">
        <f t="shared" ref="N12:N17" si="7">H12*10</f>
        <v>860</v>
      </c>
      <c r="O12">
        <f t="shared" si="3"/>
        <v>860</v>
      </c>
      <c r="P12" s="6">
        <f t="shared" si="4"/>
        <v>3236</v>
      </c>
    </row>
    <row r="13" spans="1:17" x14ac:dyDescent="0.15">
      <c r="B13" s="15" t="s">
        <v>20</v>
      </c>
      <c r="C13" s="19"/>
      <c r="D13" s="24"/>
      <c r="E13" s="22"/>
      <c r="F13" s="14">
        <f t="shared" si="5"/>
        <v>0</v>
      </c>
      <c r="H13" s="5">
        <v>120</v>
      </c>
      <c r="I13" s="5">
        <v>1.8</v>
      </c>
      <c r="J13" s="5"/>
      <c r="M13">
        <f t="shared" si="6"/>
        <v>0</v>
      </c>
      <c r="N13">
        <f t="shared" si="7"/>
        <v>1200</v>
      </c>
      <c r="O13">
        <f t="shared" si="3"/>
        <v>1200</v>
      </c>
      <c r="P13" s="6">
        <f t="shared" si="4"/>
        <v>3160</v>
      </c>
    </row>
    <row r="14" spans="1:17" x14ac:dyDescent="0.15">
      <c r="B14" s="15" t="s">
        <v>17</v>
      </c>
      <c r="C14" s="19"/>
      <c r="D14" s="24"/>
      <c r="E14" s="22"/>
      <c r="F14" s="14">
        <f t="shared" si="5"/>
        <v>0</v>
      </c>
      <c r="H14" s="5">
        <v>159</v>
      </c>
      <c r="I14" s="5">
        <v>1.1000000000000001</v>
      </c>
      <c r="J14" s="5"/>
      <c r="M14">
        <f t="shared" si="6"/>
        <v>0</v>
      </c>
      <c r="N14">
        <f t="shared" si="7"/>
        <v>1590</v>
      </c>
      <c r="O14">
        <f t="shared" si="3"/>
        <v>1590</v>
      </c>
      <c r="P14" s="6">
        <f t="shared" si="4"/>
        <v>2749</v>
      </c>
    </row>
    <row r="15" spans="1:17" x14ac:dyDescent="0.15">
      <c r="B15" s="15" t="s">
        <v>18</v>
      </c>
      <c r="C15" s="19"/>
      <c r="D15" s="24"/>
      <c r="E15" s="22"/>
      <c r="F15" s="14">
        <f t="shared" si="5"/>
        <v>0</v>
      </c>
      <c r="H15" s="5">
        <v>252</v>
      </c>
      <c r="I15" s="5">
        <v>0.7</v>
      </c>
      <c r="J15" s="5"/>
      <c r="M15">
        <f t="shared" si="6"/>
        <v>0</v>
      </c>
      <c r="N15">
        <f t="shared" si="7"/>
        <v>2520</v>
      </c>
      <c r="O15">
        <f t="shared" si="3"/>
        <v>2520</v>
      </c>
      <c r="P15" s="6">
        <f t="shared" si="4"/>
        <v>2764</v>
      </c>
    </row>
    <row r="16" spans="1:17" x14ac:dyDescent="0.15">
      <c r="B16" s="15" t="s">
        <v>19</v>
      </c>
      <c r="C16" s="19"/>
      <c r="D16" s="24"/>
      <c r="E16" s="22"/>
      <c r="F16" s="14">
        <f t="shared" si="5"/>
        <v>0</v>
      </c>
      <c r="H16" s="5">
        <v>355</v>
      </c>
      <c r="I16" s="5">
        <v>0.45</v>
      </c>
      <c r="J16" s="5"/>
      <c r="M16">
        <f t="shared" si="6"/>
        <v>0</v>
      </c>
      <c r="N16">
        <f t="shared" si="7"/>
        <v>3550</v>
      </c>
      <c r="O16">
        <f t="shared" si="3"/>
        <v>3550</v>
      </c>
      <c r="P16" s="6">
        <f t="shared" si="4"/>
        <v>2597.5</v>
      </c>
    </row>
    <row r="17" spans="2:17" x14ac:dyDescent="0.15">
      <c r="B17" s="15" t="s">
        <v>21</v>
      </c>
      <c r="C17" s="19"/>
      <c r="D17" s="24"/>
      <c r="E17" s="22"/>
      <c r="F17" s="14">
        <f t="shared" si="5"/>
        <v>0</v>
      </c>
      <c r="H17" s="5">
        <v>552</v>
      </c>
      <c r="I17" s="5">
        <v>0.27</v>
      </c>
      <c r="J17" s="5"/>
      <c r="M17">
        <f t="shared" si="6"/>
        <v>0</v>
      </c>
      <c r="N17">
        <f t="shared" si="7"/>
        <v>5520</v>
      </c>
      <c r="O17">
        <f t="shared" si="3"/>
        <v>5520</v>
      </c>
      <c r="P17" s="6">
        <f t="shared" si="4"/>
        <v>2490.4</v>
      </c>
    </row>
    <row r="18" spans="2:17" x14ac:dyDescent="0.15">
      <c r="B18" s="16" t="s">
        <v>17</v>
      </c>
      <c r="C18" s="31" t="s">
        <v>137</v>
      </c>
      <c r="D18" s="25"/>
      <c r="E18" s="21"/>
      <c r="F18" s="14">
        <f t="shared" si="5"/>
        <v>0</v>
      </c>
      <c r="H18" s="5">
        <v>254</v>
      </c>
      <c r="I18" s="5">
        <v>0.7</v>
      </c>
      <c r="J18" s="5"/>
      <c r="M18">
        <f>(D18*60+E18)*10</f>
        <v>0</v>
      </c>
      <c r="N18">
        <f>H18*10</f>
        <v>2540</v>
      </c>
      <c r="O18">
        <f>N18-M18</f>
        <v>2540</v>
      </c>
      <c r="P18" s="6">
        <f>1000+O18*I18</f>
        <v>2778</v>
      </c>
    </row>
    <row r="19" spans="2:17" x14ac:dyDescent="0.15">
      <c r="B19" s="16" t="s">
        <v>19</v>
      </c>
      <c r="C19" s="31" t="s">
        <v>137</v>
      </c>
      <c r="D19" s="25"/>
      <c r="E19" s="21"/>
      <c r="F19" s="14">
        <f t="shared" si="5"/>
        <v>0</v>
      </c>
      <c r="H19" s="5">
        <v>531</v>
      </c>
      <c r="I19" s="5">
        <v>0.3</v>
      </c>
      <c r="J19" s="5"/>
      <c r="M19">
        <f>(D19*60+E19)*10</f>
        <v>0</v>
      </c>
      <c r="N19">
        <f>H19*10</f>
        <v>5310</v>
      </c>
      <c r="O19">
        <f>N19-M19</f>
        <v>5310</v>
      </c>
      <c r="P19" s="6">
        <f>1000+O19*I19</f>
        <v>2593</v>
      </c>
    </row>
    <row r="20" spans="2:17" x14ac:dyDescent="0.15">
      <c r="B20" s="16" t="s">
        <v>21</v>
      </c>
      <c r="C20" s="31" t="s">
        <v>137</v>
      </c>
      <c r="D20" s="25"/>
      <c r="E20" s="21"/>
      <c r="F20" s="14">
        <f t="shared" si="5"/>
        <v>0</v>
      </c>
      <c r="H20" s="5">
        <v>830</v>
      </c>
      <c r="I20" s="5">
        <v>0.18</v>
      </c>
      <c r="J20" s="5"/>
      <c r="M20">
        <f>(D20*60+E20)*10</f>
        <v>0</v>
      </c>
      <c r="N20">
        <f>H20*10</f>
        <v>8300</v>
      </c>
      <c r="O20">
        <f>N20-M20</f>
        <v>8300</v>
      </c>
      <c r="P20" s="6">
        <f>1000+O20*I20</f>
        <v>2494</v>
      </c>
    </row>
    <row r="21" spans="2:17" x14ac:dyDescent="0.15">
      <c r="B21" s="16" t="s">
        <v>22</v>
      </c>
      <c r="C21" s="31" t="s">
        <v>137</v>
      </c>
      <c r="D21" s="25"/>
      <c r="E21" s="21"/>
      <c r="F21" s="14">
        <f t="shared" si="5"/>
        <v>0</v>
      </c>
      <c r="H21" s="5">
        <v>1440</v>
      </c>
      <c r="I21" s="5">
        <v>0.11</v>
      </c>
      <c r="J21" s="5"/>
      <c r="M21">
        <f>(D21*60+E21)*10</f>
        <v>0</v>
      </c>
      <c r="N21">
        <f>H21*10</f>
        <v>14400</v>
      </c>
      <c r="O21">
        <f>N21-M21</f>
        <v>14400</v>
      </c>
      <c r="P21" s="6">
        <f>1000+O21*I21</f>
        <v>2584</v>
      </c>
    </row>
    <row r="22" spans="2:17" x14ac:dyDescent="0.15">
      <c r="B22" s="16" t="s">
        <v>23</v>
      </c>
      <c r="C22" s="31" t="s">
        <v>137</v>
      </c>
      <c r="D22" s="25"/>
      <c r="E22" s="21"/>
      <c r="F22" s="14">
        <f t="shared" si="5"/>
        <v>0</v>
      </c>
      <c r="H22" s="5">
        <v>3060</v>
      </c>
      <c r="I22" s="5">
        <v>0.05</v>
      </c>
      <c r="J22" s="5"/>
      <c r="M22">
        <f>(D22*60+E22)*10</f>
        <v>0</v>
      </c>
      <c r="N22">
        <f>H22*10</f>
        <v>30600</v>
      </c>
      <c r="O22">
        <f>N22-M22</f>
        <v>30600</v>
      </c>
      <c r="P22" s="6">
        <f>1000+O22*I22</f>
        <v>2530</v>
      </c>
    </row>
    <row r="23" spans="2:17" x14ac:dyDescent="0.15">
      <c r="B23" s="16" t="s">
        <v>113</v>
      </c>
      <c r="C23" s="31" t="s">
        <v>114</v>
      </c>
      <c r="D23" s="28"/>
      <c r="E23" s="21"/>
      <c r="F23" s="14">
        <f>IF(P23&lt;0,0,IF(E23=0,0,ROUNDDOWN(P23,0)))</f>
        <v>0</v>
      </c>
      <c r="H23" s="5">
        <v>14.5</v>
      </c>
      <c r="I23" s="5">
        <v>1.1000000000000001</v>
      </c>
      <c r="J23" s="5"/>
      <c r="M23">
        <f>E23*100</f>
        <v>0</v>
      </c>
      <c r="N23">
        <f>H23*100</f>
        <v>1450</v>
      </c>
      <c r="O23">
        <f t="shared" si="3"/>
        <v>1450</v>
      </c>
      <c r="P23" s="6">
        <f t="shared" si="4"/>
        <v>2595</v>
      </c>
    </row>
    <row r="24" spans="2:17" x14ac:dyDescent="0.15">
      <c r="B24" s="16" t="s">
        <v>81</v>
      </c>
      <c r="C24" s="31" t="s">
        <v>115</v>
      </c>
      <c r="D24" s="27"/>
      <c r="E24" s="21"/>
      <c r="F24" s="14">
        <f>IF(P24&lt;0,0,IF(E24=0,0,ROUNDDOWN(P24,0)))</f>
        <v>0</v>
      </c>
      <c r="H24" s="5">
        <v>27.6</v>
      </c>
      <c r="I24" s="5">
        <v>0.6</v>
      </c>
      <c r="J24" s="5"/>
      <c r="M24">
        <f>E24*100</f>
        <v>0</v>
      </c>
      <c r="N24">
        <f>H24*100</f>
        <v>2760</v>
      </c>
      <c r="O24">
        <f>N24-M24</f>
        <v>2760</v>
      </c>
      <c r="P24" s="6">
        <f>1000+O24*I24</f>
        <v>2656</v>
      </c>
    </row>
    <row r="25" spans="2:17" x14ac:dyDescent="0.15">
      <c r="B25" s="16" t="s">
        <v>102</v>
      </c>
      <c r="C25" s="31" t="s">
        <v>129</v>
      </c>
      <c r="D25" s="30"/>
      <c r="E25" s="21"/>
      <c r="F25" s="14">
        <f>IF(P25&lt;0,0,IF(E25=0,0,ROUNDDOWN(P25,0)))</f>
        <v>0</v>
      </c>
      <c r="H25" s="5">
        <v>41.8</v>
      </c>
      <c r="I25" s="5">
        <v>0.46</v>
      </c>
      <c r="J25" s="5"/>
      <c r="M25">
        <f>E25*100</f>
        <v>0</v>
      </c>
      <c r="N25">
        <f>H25*100</f>
        <v>4180</v>
      </c>
      <c r="O25">
        <f>N25-M25</f>
        <v>4180</v>
      </c>
      <c r="P25" s="6">
        <f>1000+O25*I25</f>
        <v>2922.8</v>
      </c>
    </row>
    <row r="26" spans="2:17" x14ac:dyDescent="0.15">
      <c r="B26" s="16" t="s">
        <v>24</v>
      </c>
      <c r="C26" s="31" t="s">
        <v>112</v>
      </c>
      <c r="D26" s="23"/>
      <c r="E26" s="22"/>
      <c r="F26" s="14">
        <f>IF(P26&lt;0,0,IF(AND(E26=0,D26=0),0,ROUNDDOWN(P26,0)))</f>
        <v>0</v>
      </c>
      <c r="H26" s="5">
        <v>280</v>
      </c>
      <c r="I26" s="5">
        <v>0.55000000000000004</v>
      </c>
      <c r="J26" s="5"/>
      <c r="M26">
        <f>(D26*60+E26)*10</f>
        <v>0</v>
      </c>
      <c r="N26">
        <f>H26*10</f>
        <v>2800</v>
      </c>
      <c r="O26">
        <f>N26-M26</f>
        <v>2800</v>
      </c>
      <c r="P26" s="6">
        <f>1000+O26*I26</f>
        <v>2540</v>
      </c>
    </row>
    <row r="27" spans="2:17" ht="16" x14ac:dyDescent="0.2">
      <c r="B27" s="7"/>
      <c r="C27" s="7"/>
      <c r="D27" s="7"/>
      <c r="E27" s="35" t="s">
        <v>34</v>
      </c>
      <c r="F27" s="4"/>
      <c r="G27" s="4"/>
      <c r="H27" s="8"/>
      <c r="I27" s="8"/>
      <c r="J27" s="8"/>
      <c r="K27" s="4"/>
      <c r="L27" s="4"/>
      <c r="M27" s="4"/>
      <c r="N27" s="4"/>
      <c r="O27" s="4"/>
      <c r="P27" s="4"/>
      <c r="Q27" s="4"/>
    </row>
    <row r="28" spans="2:17" x14ac:dyDescent="0.15">
      <c r="B28" s="16" t="s">
        <v>10</v>
      </c>
      <c r="C28" s="18"/>
      <c r="D28" s="26"/>
      <c r="E28" s="21"/>
      <c r="F28" s="14">
        <f t="shared" ref="F28:F37" si="8">IF(P28&lt;0,0,IF(E28=0,0,ROUNDDOWN(P28,0)))</f>
        <v>0</v>
      </c>
      <c r="H28" s="5">
        <v>1.88</v>
      </c>
      <c r="I28" s="5">
        <v>7</v>
      </c>
      <c r="J28" s="5"/>
      <c r="M28">
        <f t="shared" ref="M28:M37" si="9">E28*100</f>
        <v>0</v>
      </c>
      <c r="N28">
        <f t="shared" ref="N28:N37" si="10">H28*100</f>
        <v>188</v>
      </c>
      <c r="O28">
        <f t="shared" ref="O28:O37" si="11">N28-M28</f>
        <v>188</v>
      </c>
      <c r="P28" s="6">
        <f t="shared" ref="P28:P33" si="12">1000-O28*I28</f>
        <v>-316</v>
      </c>
    </row>
    <row r="29" spans="2:17" x14ac:dyDescent="0.15">
      <c r="B29" s="16" t="s">
        <v>27</v>
      </c>
      <c r="C29" s="19"/>
      <c r="D29" s="27"/>
      <c r="E29" s="21"/>
      <c r="F29" s="14">
        <f t="shared" si="8"/>
        <v>0</v>
      </c>
      <c r="H29" s="5">
        <v>1.5</v>
      </c>
      <c r="I29" s="5">
        <v>8.5</v>
      </c>
      <c r="J29" s="5"/>
      <c r="M29">
        <f t="shared" si="9"/>
        <v>0</v>
      </c>
      <c r="N29">
        <f t="shared" si="10"/>
        <v>150</v>
      </c>
      <c r="O29">
        <f t="shared" si="11"/>
        <v>150</v>
      </c>
      <c r="P29" s="6">
        <f t="shared" si="12"/>
        <v>-275</v>
      </c>
    </row>
    <row r="30" spans="2:17" x14ac:dyDescent="0.15">
      <c r="B30" s="16" t="s">
        <v>28</v>
      </c>
      <c r="C30" s="19"/>
      <c r="D30" s="27"/>
      <c r="E30" s="21"/>
      <c r="F30" s="14">
        <f t="shared" si="8"/>
        <v>0</v>
      </c>
      <c r="H30" s="5">
        <v>3.8</v>
      </c>
      <c r="I30" s="5">
        <f>IF(E30&lt;0.8*H30,L30,Q30)</f>
        <v>7</v>
      </c>
      <c r="J30" s="5">
        <v>1.7</v>
      </c>
      <c r="K30" s="5">
        <v>3.5</v>
      </c>
      <c r="L30" s="5">
        <v>7</v>
      </c>
      <c r="M30">
        <f t="shared" si="9"/>
        <v>0</v>
      </c>
      <c r="N30">
        <f t="shared" si="10"/>
        <v>380</v>
      </c>
      <c r="O30">
        <f t="shared" si="11"/>
        <v>380</v>
      </c>
      <c r="P30" s="6">
        <f>IF(E30&lt;0.8*H30,1000-((N30-0.8*N30)*K30+(O30-(N30-N30*0.8))*L30),1000-O30*I30)</f>
        <v>-1394</v>
      </c>
      <c r="Q30" s="5">
        <f>IF(E30&gt;H30,J30,K30)</f>
        <v>3.5</v>
      </c>
    </row>
    <row r="31" spans="2:17" x14ac:dyDescent="0.15">
      <c r="B31" s="16" t="s">
        <v>11</v>
      </c>
      <c r="C31" s="19"/>
      <c r="D31" s="27"/>
      <c r="E31" s="21"/>
      <c r="F31" s="14">
        <f t="shared" si="8"/>
        <v>0</v>
      </c>
      <c r="H31" s="5">
        <v>6.4</v>
      </c>
      <c r="I31" s="5">
        <v>2</v>
      </c>
      <c r="J31" s="5"/>
      <c r="M31">
        <f t="shared" si="9"/>
        <v>0</v>
      </c>
      <c r="N31">
        <f t="shared" si="10"/>
        <v>640</v>
      </c>
      <c r="O31">
        <f t="shared" si="11"/>
        <v>640</v>
      </c>
      <c r="P31" s="6">
        <f t="shared" si="12"/>
        <v>-280</v>
      </c>
    </row>
    <row r="32" spans="2:17" x14ac:dyDescent="0.15">
      <c r="B32" s="16" t="s">
        <v>29</v>
      </c>
      <c r="C32" s="19"/>
      <c r="D32" s="27"/>
      <c r="E32" s="21"/>
      <c r="F32" s="14">
        <f t="shared" si="8"/>
        <v>0</v>
      </c>
      <c r="H32" s="5">
        <v>2.98</v>
      </c>
      <c r="I32" s="5">
        <v>5</v>
      </c>
      <c r="J32" s="5"/>
      <c r="M32">
        <f t="shared" si="9"/>
        <v>0</v>
      </c>
      <c r="N32">
        <f t="shared" si="10"/>
        <v>298</v>
      </c>
      <c r="O32">
        <f t="shared" si="11"/>
        <v>298</v>
      </c>
      <c r="P32" s="6">
        <f t="shared" si="12"/>
        <v>-490</v>
      </c>
    </row>
    <row r="33" spans="2:17" x14ac:dyDescent="0.15">
      <c r="B33" s="16" t="s">
        <v>30</v>
      </c>
      <c r="C33" s="20"/>
      <c r="D33" s="27"/>
      <c r="E33" s="21"/>
      <c r="F33" s="14">
        <f t="shared" si="8"/>
        <v>0</v>
      </c>
      <c r="H33" s="5">
        <v>13.3</v>
      </c>
      <c r="I33" s="5">
        <v>1</v>
      </c>
      <c r="J33" s="5"/>
      <c r="M33">
        <f t="shared" si="9"/>
        <v>0</v>
      </c>
      <c r="N33">
        <f t="shared" si="10"/>
        <v>1330</v>
      </c>
      <c r="O33">
        <f t="shared" si="11"/>
        <v>1330</v>
      </c>
      <c r="P33" s="6">
        <f t="shared" si="12"/>
        <v>-330</v>
      </c>
    </row>
    <row r="34" spans="2:17" x14ac:dyDescent="0.15">
      <c r="B34" s="16" t="s">
        <v>86</v>
      </c>
      <c r="C34" s="31" t="s">
        <v>124</v>
      </c>
      <c r="D34" s="27"/>
      <c r="E34" s="21"/>
      <c r="F34" s="14">
        <f t="shared" si="8"/>
        <v>0</v>
      </c>
      <c r="H34" s="5">
        <v>14.6</v>
      </c>
      <c r="I34" s="5">
        <f>IF(E34&lt;0.8*H34,L34,Q34)</f>
        <v>1.2</v>
      </c>
      <c r="J34" s="5">
        <v>0.3</v>
      </c>
      <c r="K34" s="5">
        <v>0.6</v>
      </c>
      <c r="L34" s="5">
        <v>1.2</v>
      </c>
      <c r="M34">
        <f t="shared" si="9"/>
        <v>0</v>
      </c>
      <c r="N34">
        <f t="shared" si="10"/>
        <v>1460</v>
      </c>
      <c r="O34">
        <f t="shared" si="11"/>
        <v>1460</v>
      </c>
      <c r="P34" s="6">
        <f>IF(E34&lt;0.8*H34,1000-((N34-0.8*N34)*K34+(O34-(N34-N34*0.8))*L34),1000-O34*I34)</f>
        <v>-576.79999999999995</v>
      </c>
      <c r="Q34" s="5">
        <f>IF(E34&gt;H34,J34,K34)</f>
        <v>0.6</v>
      </c>
    </row>
    <row r="35" spans="2:17" x14ac:dyDescent="0.15">
      <c r="B35" s="16" t="s">
        <v>87</v>
      </c>
      <c r="C35" s="31" t="s">
        <v>125</v>
      </c>
      <c r="D35" s="27"/>
      <c r="E35" s="21"/>
      <c r="F35" s="14">
        <f t="shared" si="8"/>
        <v>0</v>
      </c>
      <c r="H35" s="5">
        <v>45</v>
      </c>
      <c r="I35" s="5">
        <f>IF(E35&lt;0.8*H35,L35,Q35)</f>
        <v>0.5</v>
      </c>
      <c r="J35" s="5">
        <v>0.13</v>
      </c>
      <c r="K35" s="5">
        <v>0.25</v>
      </c>
      <c r="L35" s="5">
        <v>0.5</v>
      </c>
      <c r="M35">
        <f t="shared" si="9"/>
        <v>0</v>
      </c>
      <c r="N35">
        <f t="shared" si="10"/>
        <v>4500</v>
      </c>
      <c r="O35">
        <f t="shared" si="11"/>
        <v>4500</v>
      </c>
      <c r="P35" s="6">
        <f>IF(E35&lt;0.8*H35,1000-((N35-0.8*N35)*K35+(O35-(N35-N35*0.8))*L35),1000-O35*I35)</f>
        <v>-1025</v>
      </c>
      <c r="Q35" s="5">
        <f>IF(E35&gt;H35,J35,K35)</f>
        <v>0.25</v>
      </c>
    </row>
    <row r="36" spans="2:17" x14ac:dyDescent="0.15">
      <c r="B36" s="16" t="s">
        <v>88</v>
      </c>
      <c r="C36" s="31" t="s">
        <v>126</v>
      </c>
      <c r="D36" s="27"/>
      <c r="E36" s="21"/>
      <c r="F36" s="14">
        <f t="shared" si="8"/>
        <v>0</v>
      </c>
      <c r="H36" s="5">
        <v>52</v>
      </c>
      <c r="I36" s="5">
        <f>IF(E36&lt;0.8*H36,L36,Q36)</f>
        <v>0.4</v>
      </c>
      <c r="J36" s="5">
        <v>0.1</v>
      </c>
      <c r="K36" s="5">
        <v>0.2</v>
      </c>
      <c r="L36" s="5">
        <v>0.4</v>
      </c>
      <c r="M36">
        <f t="shared" si="9"/>
        <v>0</v>
      </c>
      <c r="N36">
        <f t="shared" si="10"/>
        <v>5200</v>
      </c>
      <c r="O36">
        <f t="shared" si="11"/>
        <v>5200</v>
      </c>
      <c r="P36" s="6">
        <f>IF(E36&lt;0.8*H36,1000-((N36-0.8*N36)*K36+(O36-(N36-N36*0.8))*L36),1000-O36*I36)</f>
        <v>-872</v>
      </c>
      <c r="Q36" s="5">
        <f>IF(E36&gt;H36,J36,K36)</f>
        <v>0.2</v>
      </c>
    </row>
    <row r="37" spans="2:17" x14ac:dyDescent="0.15">
      <c r="B37" s="16" t="s">
        <v>89</v>
      </c>
      <c r="C37" s="31" t="s">
        <v>128</v>
      </c>
      <c r="D37" s="30"/>
      <c r="E37" s="21"/>
      <c r="F37" s="14">
        <f t="shared" si="8"/>
        <v>0</v>
      </c>
      <c r="H37" s="5">
        <v>55</v>
      </c>
      <c r="I37" s="5">
        <f>IF(E37&lt;0.8*H37,L37,Q37)</f>
        <v>0.4</v>
      </c>
      <c r="J37" s="5">
        <v>0.1</v>
      </c>
      <c r="K37" s="5">
        <v>0.2</v>
      </c>
      <c r="L37" s="5">
        <v>0.4</v>
      </c>
      <c r="M37">
        <f t="shared" si="9"/>
        <v>0</v>
      </c>
      <c r="N37">
        <f t="shared" si="10"/>
        <v>5500</v>
      </c>
      <c r="O37">
        <f t="shared" si="11"/>
        <v>5500</v>
      </c>
      <c r="P37" s="6">
        <f>IF(E37&lt;0.8*H37,1000-((N37-0.8*N37)*K37+(O37-(N37-N37*0.8))*L37),1000-O37*I37)</f>
        <v>-980</v>
      </c>
      <c r="Q37" s="5">
        <f>IF(E37&gt;H37,J37,K37)</f>
        <v>0.2</v>
      </c>
    </row>
    <row r="39" spans="2:17" x14ac:dyDescent="0.15">
      <c r="B39" s="60" t="s">
        <v>47</v>
      </c>
      <c r="C39" s="60"/>
      <c r="D39" s="60"/>
      <c r="E39" s="60"/>
      <c r="F39" s="60"/>
    </row>
    <row r="40" spans="2:17" x14ac:dyDescent="0.15">
      <c r="B40" s="60" t="s">
        <v>36</v>
      </c>
      <c r="C40" s="60"/>
      <c r="D40" s="60"/>
      <c r="E40" s="60"/>
      <c r="F40" s="60"/>
    </row>
    <row r="41" spans="2:17" x14ac:dyDescent="0.15">
      <c r="B41" s="60" t="s">
        <v>35</v>
      </c>
      <c r="C41" s="60"/>
      <c r="D41" s="60"/>
      <c r="E41" s="60"/>
      <c r="F41" s="60"/>
    </row>
    <row r="43" spans="2:17" ht="16" x14ac:dyDescent="0.2">
      <c r="B43" s="58" t="s">
        <v>146</v>
      </c>
      <c r="C43" s="59"/>
      <c r="D43" s="59"/>
      <c r="E43" s="59"/>
      <c r="F43" s="59"/>
    </row>
  </sheetData>
  <sheetProtection password="CCED" sheet="1" objects="1" scenarios="1" selectLockedCells="1"/>
  <mergeCells count="6">
    <mergeCell ref="D4:E4"/>
    <mergeCell ref="B43:F43"/>
    <mergeCell ref="B4:C4"/>
    <mergeCell ref="B39:F39"/>
    <mergeCell ref="B40:F40"/>
    <mergeCell ref="B41:F41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0"/>
  </sheetPr>
  <dimension ref="A1:Q43"/>
  <sheetViews>
    <sheetView showGridLines="0" showRowColHeaders="0" showOutlineSymbols="0" workbookViewId="0">
      <selection activeCell="E6" sqref="E6"/>
    </sheetView>
  </sheetViews>
  <sheetFormatPr baseColWidth="10" defaultColWidth="8.83203125" defaultRowHeight="13" x14ac:dyDescent="0.15"/>
  <cols>
    <col min="1" max="1" width="11.5" customWidth="1"/>
    <col min="2" max="3" width="15.5" customWidth="1"/>
    <col min="4" max="6" width="11.5" customWidth="1"/>
    <col min="7" max="7" width="5.83203125" customWidth="1"/>
    <col min="8" max="8" width="9.33203125" hidden="1" customWidth="1"/>
    <col min="9" max="10" width="8.6640625" hidden="1" customWidth="1"/>
    <col min="11" max="11" width="6.83203125" hidden="1" customWidth="1"/>
    <col min="12" max="12" width="8.33203125" hidden="1" customWidth="1"/>
    <col min="13" max="13" width="6.6640625" hidden="1" customWidth="1"/>
    <col min="14" max="14" width="8.1640625" hidden="1" customWidth="1"/>
    <col min="15" max="15" width="8.83203125" hidden="1" customWidth="1"/>
    <col min="16" max="16" width="13" hidden="1" customWidth="1"/>
    <col min="17" max="17" width="7.6640625" hidden="1" customWidth="1"/>
    <col min="18" max="256" width="11.5" customWidth="1"/>
  </cols>
  <sheetData>
    <row r="1" spans="1:17" ht="16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61" t="s">
        <v>1</v>
      </c>
      <c r="E4" s="61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9" t="s">
        <v>32</v>
      </c>
      <c r="E5" s="39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5" t="s">
        <v>8</v>
      </c>
      <c r="C6" s="18"/>
      <c r="D6" s="26"/>
      <c r="E6" s="22"/>
      <c r="F6" s="14">
        <f t="shared" ref="F6:F11" si="0">IF(P6&lt;0,0,IF(E6=0,0,ROUNDDOWN(P6,0)))</f>
        <v>0</v>
      </c>
      <c r="H6" s="5">
        <v>8.0500000000000007</v>
      </c>
      <c r="I6" s="5">
        <v>2.7</v>
      </c>
      <c r="J6" s="5"/>
      <c r="M6">
        <f t="shared" ref="M6:M11" si="1">E6*100</f>
        <v>0</v>
      </c>
      <c r="N6">
        <f t="shared" ref="N6:N11" si="2">H6*100</f>
        <v>805.00000000000011</v>
      </c>
      <c r="O6">
        <f t="shared" ref="O6:O17" si="3">N6-M6</f>
        <v>805.00000000000011</v>
      </c>
      <c r="P6" s="6">
        <f t="shared" ref="P6:P17" si="4">1000+O6*I6</f>
        <v>3173.5000000000005</v>
      </c>
    </row>
    <row r="7" spans="1:17" x14ac:dyDescent="0.15">
      <c r="B7" s="16" t="s">
        <v>69</v>
      </c>
      <c r="C7" s="19"/>
      <c r="D7" s="27"/>
      <c r="E7" s="21"/>
      <c r="F7" s="14">
        <f t="shared" si="0"/>
        <v>0</v>
      </c>
      <c r="H7" s="5">
        <v>10.35</v>
      </c>
      <c r="I7" s="5">
        <v>2.1</v>
      </c>
      <c r="J7" s="5"/>
      <c r="M7">
        <f t="shared" si="1"/>
        <v>0</v>
      </c>
      <c r="N7">
        <f t="shared" si="2"/>
        <v>1035</v>
      </c>
      <c r="O7">
        <f>N7-M7</f>
        <v>1035</v>
      </c>
      <c r="P7" s="6">
        <f>1000+O7*I7</f>
        <v>3173.5</v>
      </c>
    </row>
    <row r="8" spans="1:17" x14ac:dyDescent="0.15">
      <c r="B8" s="16" t="s">
        <v>13</v>
      </c>
      <c r="C8" s="19"/>
      <c r="D8" s="27"/>
      <c r="E8" s="21"/>
      <c r="F8" s="14">
        <f t="shared" si="0"/>
        <v>0</v>
      </c>
      <c r="H8" s="5">
        <v>12.75</v>
      </c>
      <c r="I8" s="5">
        <v>1.6</v>
      </c>
      <c r="J8" s="5"/>
      <c r="M8">
        <f t="shared" si="1"/>
        <v>0</v>
      </c>
      <c r="N8">
        <f t="shared" si="2"/>
        <v>1275</v>
      </c>
      <c r="O8">
        <f t="shared" si="3"/>
        <v>1275</v>
      </c>
      <c r="P8" s="6">
        <f t="shared" si="4"/>
        <v>3040</v>
      </c>
    </row>
    <row r="9" spans="1:17" x14ac:dyDescent="0.15">
      <c r="B9" s="16" t="s">
        <v>14</v>
      </c>
      <c r="C9" s="19"/>
      <c r="D9" s="27"/>
      <c r="E9" s="21"/>
      <c r="F9" s="14">
        <f t="shared" si="0"/>
        <v>0</v>
      </c>
      <c r="H9" s="5">
        <v>26.15</v>
      </c>
      <c r="I9" s="5">
        <v>0.78</v>
      </c>
      <c r="J9" s="5"/>
      <c r="M9">
        <f t="shared" si="1"/>
        <v>0</v>
      </c>
      <c r="N9">
        <f t="shared" si="2"/>
        <v>2615</v>
      </c>
      <c r="O9">
        <f t="shared" si="3"/>
        <v>2615</v>
      </c>
      <c r="P9" s="6">
        <f t="shared" si="4"/>
        <v>3039.7</v>
      </c>
    </row>
    <row r="10" spans="1:17" x14ac:dyDescent="0.15">
      <c r="B10" s="16" t="s">
        <v>15</v>
      </c>
      <c r="C10" s="19"/>
      <c r="D10" s="27"/>
      <c r="E10" s="21"/>
      <c r="F10" s="14">
        <f t="shared" si="0"/>
        <v>0</v>
      </c>
      <c r="H10" s="5">
        <v>41.7</v>
      </c>
      <c r="I10" s="5">
        <v>0.5</v>
      </c>
      <c r="J10" s="5"/>
      <c r="M10">
        <f t="shared" si="1"/>
        <v>0</v>
      </c>
      <c r="N10">
        <f t="shared" si="2"/>
        <v>4170</v>
      </c>
      <c r="O10">
        <f t="shared" si="3"/>
        <v>4170</v>
      </c>
      <c r="P10" s="6">
        <f t="shared" si="4"/>
        <v>3085</v>
      </c>
    </row>
    <row r="11" spans="1:17" x14ac:dyDescent="0.15">
      <c r="B11" s="15" t="s">
        <v>16</v>
      </c>
      <c r="C11" s="19"/>
      <c r="D11" s="30"/>
      <c r="E11" s="22"/>
      <c r="F11" s="14">
        <f t="shared" si="0"/>
        <v>0</v>
      </c>
      <c r="H11" s="5">
        <v>58.8</v>
      </c>
      <c r="I11" s="5">
        <v>0.38</v>
      </c>
      <c r="J11" s="5"/>
      <c r="M11">
        <f t="shared" si="1"/>
        <v>0</v>
      </c>
      <c r="N11">
        <f t="shared" si="2"/>
        <v>5880</v>
      </c>
      <c r="O11">
        <f t="shared" si="3"/>
        <v>5880</v>
      </c>
      <c r="P11" s="6">
        <f t="shared" si="4"/>
        <v>3234.4</v>
      </c>
    </row>
    <row r="12" spans="1:17" x14ac:dyDescent="0.15">
      <c r="B12" s="15" t="s">
        <v>9</v>
      </c>
      <c r="C12" s="19"/>
      <c r="D12" s="24"/>
      <c r="E12" s="22"/>
      <c r="F12" s="14">
        <f t="shared" ref="F12:F22" si="5">IF(P12&lt;0,0,IF(AND(E12=0,D12=0),0,ROUNDDOWN(P12,0)))</f>
        <v>0</v>
      </c>
      <c r="H12" s="5">
        <v>97</v>
      </c>
      <c r="I12" s="5">
        <v>2.4</v>
      </c>
      <c r="J12" s="5"/>
      <c r="M12">
        <f t="shared" ref="M12:M17" si="6">(D12*60+E12)*10</f>
        <v>0</v>
      </c>
      <c r="N12">
        <f t="shared" ref="N12:N17" si="7">H12*10</f>
        <v>970</v>
      </c>
      <c r="O12">
        <f t="shared" si="3"/>
        <v>970</v>
      </c>
      <c r="P12" s="6">
        <f t="shared" si="4"/>
        <v>3328</v>
      </c>
    </row>
    <row r="13" spans="1:17" x14ac:dyDescent="0.15">
      <c r="B13" s="15" t="s">
        <v>20</v>
      </c>
      <c r="C13" s="19"/>
      <c r="D13" s="24"/>
      <c r="E13" s="22"/>
      <c r="F13" s="14">
        <f t="shared" si="5"/>
        <v>0</v>
      </c>
      <c r="H13" s="5">
        <v>136</v>
      </c>
      <c r="I13" s="5">
        <v>1.5</v>
      </c>
      <c r="J13" s="5"/>
      <c r="M13">
        <f t="shared" si="6"/>
        <v>0</v>
      </c>
      <c r="N13">
        <f t="shared" si="7"/>
        <v>1360</v>
      </c>
      <c r="O13">
        <f t="shared" si="3"/>
        <v>1360</v>
      </c>
      <c r="P13" s="6">
        <f t="shared" si="4"/>
        <v>3040</v>
      </c>
    </row>
    <row r="14" spans="1:17" x14ac:dyDescent="0.15">
      <c r="B14" s="15" t="s">
        <v>17</v>
      </c>
      <c r="C14" s="19"/>
      <c r="D14" s="24"/>
      <c r="E14" s="22"/>
      <c r="F14" s="14">
        <f t="shared" si="5"/>
        <v>0</v>
      </c>
      <c r="H14" s="5">
        <v>184</v>
      </c>
      <c r="I14" s="5">
        <v>1</v>
      </c>
      <c r="J14" s="5"/>
      <c r="M14">
        <f t="shared" si="6"/>
        <v>0</v>
      </c>
      <c r="N14">
        <f t="shared" si="7"/>
        <v>1840</v>
      </c>
      <c r="O14">
        <f t="shared" si="3"/>
        <v>1840</v>
      </c>
      <c r="P14" s="6">
        <f t="shared" si="4"/>
        <v>2840</v>
      </c>
    </row>
    <row r="15" spans="1:17" x14ac:dyDescent="0.15">
      <c r="B15" s="15" t="s">
        <v>18</v>
      </c>
      <c r="C15" s="19"/>
      <c r="D15" s="24"/>
      <c r="E15" s="22"/>
      <c r="F15" s="14">
        <f t="shared" si="5"/>
        <v>0</v>
      </c>
      <c r="H15" s="5">
        <v>282</v>
      </c>
      <c r="I15" s="5">
        <v>0.6</v>
      </c>
      <c r="J15" s="5"/>
      <c r="M15">
        <f t="shared" si="6"/>
        <v>0</v>
      </c>
      <c r="N15">
        <f t="shared" si="7"/>
        <v>2820</v>
      </c>
      <c r="O15">
        <f t="shared" si="3"/>
        <v>2820</v>
      </c>
      <c r="P15" s="6">
        <f t="shared" si="4"/>
        <v>2692</v>
      </c>
    </row>
    <row r="16" spans="1:17" x14ac:dyDescent="0.15">
      <c r="B16" s="15" t="s">
        <v>19</v>
      </c>
      <c r="C16" s="19"/>
      <c r="D16" s="24"/>
      <c r="E16" s="22"/>
      <c r="F16" s="14">
        <f t="shared" si="5"/>
        <v>0</v>
      </c>
      <c r="H16" s="5">
        <v>398</v>
      </c>
      <c r="I16" s="5">
        <v>0.4</v>
      </c>
      <c r="J16" s="5"/>
      <c r="M16">
        <f t="shared" si="6"/>
        <v>0</v>
      </c>
      <c r="N16">
        <f t="shared" si="7"/>
        <v>3980</v>
      </c>
      <c r="O16">
        <f t="shared" si="3"/>
        <v>3980</v>
      </c>
      <c r="P16" s="6">
        <f t="shared" si="4"/>
        <v>2592</v>
      </c>
    </row>
    <row r="17" spans="2:17" x14ac:dyDescent="0.15">
      <c r="B17" s="15" t="s">
        <v>21</v>
      </c>
      <c r="C17" s="19"/>
      <c r="D17" s="24"/>
      <c r="E17" s="22"/>
      <c r="F17" s="14">
        <f t="shared" si="5"/>
        <v>0</v>
      </c>
      <c r="H17" s="5">
        <v>625</v>
      </c>
      <c r="I17" s="5">
        <v>0.23</v>
      </c>
      <c r="J17" s="5"/>
      <c r="M17">
        <f t="shared" si="6"/>
        <v>0</v>
      </c>
      <c r="N17">
        <f t="shared" si="7"/>
        <v>6250</v>
      </c>
      <c r="O17">
        <f t="shared" si="3"/>
        <v>6250</v>
      </c>
      <c r="P17" s="6">
        <f t="shared" si="4"/>
        <v>2437.5</v>
      </c>
    </row>
    <row r="18" spans="2:17" x14ac:dyDescent="0.15">
      <c r="B18" s="16" t="s">
        <v>17</v>
      </c>
      <c r="C18" s="31" t="s">
        <v>137</v>
      </c>
      <c r="D18" s="25"/>
      <c r="E18" s="21"/>
      <c r="F18" s="14">
        <f t="shared" si="5"/>
        <v>0</v>
      </c>
      <c r="H18" s="5">
        <v>272</v>
      </c>
      <c r="I18" s="5">
        <v>0.7</v>
      </c>
      <c r="J18" s="5"/>
      <c r="M18">
        <f>(D18*60+E18)*10</f>
        <v>0</v>
      </c>
      <c r="N18">
        <f>H18*10</f>
        <v>2720</v>
      </c>
      <c r="O18">
        <f t="shared" ref="O18:O26" si="8">N18-M18</f>
        <v>2720</v>
      </c>
      <c r="P18" s="6">
        <f t="shared" ref="P18:P26" si="9">1000+O18*I18</f>
        <v>2904</v>
      </c>
    </row>
    <row r="19" spans="2:17" x14ac:dyDescent="0.15">
      <c r="B19" s="16" t="s">
        <v>19</v>
      </c>
      <c r="C19" s="31" t="s">
        <v>137</v>
      </c>
      <c r="D19" s="25"/>
      <c r="E19" s="21"/>
      <c r="F19" s="14">
        <f t="shared" si="5"/>
        <v>0</v>
      </c>
      <c r="H19" s="5">
        <v>588</v>
      </c>
      <c r="I19" s="5">
        <v>0.3</v>
      </c>
      <c r="J19" s="5"/>
      <c r="M19">
        <f>(D19*60+E19)*10</f>
        <v>0</v>
      </c>
      <c r="N19">
        <f>H19*10</f>
        <v>5880</v>
      </c>
      <c r="O19">
        <f t="shared" si="8"/>
        <v>5880</v>
      </c>
      <c r="P19" s="6">
        <f t="shared" si="9"/>
        <v>2764</v>
      </c>
    </row>
    <row r="20" spans="2:17" x14ac:dyDescent="0.15">
      <c r="B20" s="16" t="s">
        <v>21</v>
      </c>
      <c r="C20" s="31" t="s">
        <v>137</v>
      </c>
      <c r="D20" s="25"/>
      <c r="E20" s="21"/>
      <c r="F20" s="14">
        <f t="shared" si="5"/>
        <v>0</v>
      </c>
      <c r="H20" s="5">
        <v>920</v>
      </c>
      <c r="I20" s="5">
        <v>0.18</v>
      </c>
      <c r="J20" s="5"/>
      <c r="M20">
        <f>(D20*60+E20)*10</f>
        <v>0</v>
      </c>
      <c r="N20">
        <f>H20*10</f>
        <v>9200</v>
      </c>
      <c r="O20">
        <f t="shared" si="8"/>
        <v>9200</v>
      </c>
      <c r="P20" s="6">
        <f t="shared" si="9"/>
        <v>2656</v>
      </c>
    </row>
    <row r="21" spans="2:17" x14ac:dyDescent="0.15">
      <c r="B21" s="16" t="s">
        <v>22</v>
      </c>
      <c r="C21" s="31" t="s">
        <v>137</v>
      </c>
      <c r="D21" s="25"/>
      <c r="E21" s="21"/>
      <c r="F21" s="14">
        <f t="shared" si="5"/>
        <v>0</v>
      </c>
      <c r="H21" s="5">
        <v>1585</v>
      </c>
      <c r="I21" s="5">
        <v>0.1</v>
      </c>
      <c r="J21" s="5"/>
      <c r="M21">
        <f>(D21*60+E21)*10</f>
        <v>0</v>
      </c>
      <c r="N21">
        <f>H21*10</f>
        <v>15850</v>
      </c>
      <c r="O21">
        <f t="shared" si="8"/>
        <v>15850</v>
      </c>
      <c r="P21" s="6">
        <f t="shared" si="9"/>
        <v>2585</v>
      </c>
    </row>
    <row r="22" spans="2:17" x14ac:dyDescent="0.15">
      <c r="B22" s="16" t="s">
        <v>23</v>
      </c>
      <c r="C22" s="31" t="s">
        <v>137</v>
      </c>
      <c r="D22" s="25"/>
      <c r="E22" s="21"/>
      <c r="F22" s="14">
        <f t="shared" si="5"/>
        <v>0</v>
      </c>
      <c r="H22" s="5">
        <v>3450</v>
      </c>
      <c r="I22" s="5">
        <v>0.05</v>
      </c>
      <c r="J22" s="5"/>
      <c r="M22">
        <f>(D22*60+E22)*10</f>
        <v>0</v>
      </c>
      <c r="N22">
        <f>H22*10</f>
        <v>34500</v>
      </c>
      <c r="O22">
        <f t="shared" si="8"/>
        <v>34500</v>
      </c>
      <c r="P22" s="6">
        <f t="shared" si="9"/>
        <v>2725</v>
      </c>
    </row>
    <row r="23" spans="2:17" x14ac:dyDescent="0.15">
      <c r="B23" s="16" t="s">
        <v>104</v>
      </c>
      <c r="C23" s="31" t="s">
        <v>111</v>
      </c>
      <c r="D23" s="28"/>
      <c r="E23" s="21"/>
      <c r="F23" s="14">
        <f>IF(P23&lt;0,0,IF(E23=0,0,ROUNDDOWN(P23,0)))</f>
        <v>0</v>
      </c>
      <c r="H23" s="5">
        <v>12.2</v>
      </c>
      <c r="I23" s="5">
        <v>1.4</v>
      </c>
      <c r="J23" s="5"/>
      <c r="M23">
        <f>E23*100</f>
        <v>0</v>
      </c>
      <c r="N23">
        <f>H23*100</f>
        <v>1220</v>
      </c>
      <c r="O23">
        <f t="shared" si="8"/>
        <v>1220</v>
      </c>
      <c r="P23" s="6">
        <f t="shared" si="9"/>
        <v>2708</v>
      </c>
    </row>
    <row r="24" spans="2:17" x14ac:dyDescent="0.15">
      <c r="B24" s="16" t="s">
        <v>81</v>
      </c>
      <c r="C24" s="31" t="s">
        <v>98</v>
      </c>
      <c r="D24" s="27"/>
      <c r="E24" s="21"/>
      <c r="F24" s="14">
        <f>IF(P24&lt;0,0,IF(E24=0,0,ROUNDDOWN(P24,0)))</f>
        <v>0</v>
      </c>
      <c r="H24" s="5">
        <v>30.4</v>
      </c>
      <c r="I24" s="5">
        <v>0.5</v>
      </c>
      <c r="J24" s="5"/>
      <c r="M24">
        <f>E24*100</f>
        <v>0</v>
      </c>
      <c r="N24">
        <f>H24*100</f>
        <v>3040</v>
      </c>
      <c r="O24">
        <f t="shared" si="8"/>
        <v>3040</v>
      </c>
      <c r="P24" s="6">
        <f t="shared" si="9"/>
        <v>2520</v>
      </c>
    </row>
    <row r="25" spans="2:17" x14ac:dyDescent="0.15">
      <c r="B25" s="16" t="s">
        <v>102</v>
      </c>
      <c r="C25" s="31" t="s">
        <v>103</v>
      </c>
      <c r="D25" s="30"/>
      <c r="E25" s="21"/>
      <c r="F25" s="14">
        <f>IF(P25&lt;0,0,IF(E25=0,0,ROUNDDOWN(P25,0)))</f>
        <v>0</v>
      </c>
      <c r="H25" s="5">
        <v>46.4</v>
      </c>
      <c r="I25" s="5">
        <v>0.4</v>
      </c>
      <c r="J25" s="5"/>
      <c r="M25">
        <f>E25*100</f>
        <v>0</v>
      </c>
      <c r="N25">
        <f>H25*100</f>
        <v>4640</v>
      </c>
      <c r="O25">
        <f t="shared" si="8"/>
        <v>4640</v>
      </c>
      <c r="P25" s="6">
        <f t="shared" si="9"/>
        <v>2856</v>
      </c>
    </row>
    <row r="26" spans="2:17" x14ac:dyDescent="0.15">
      <c r="B26" s="16" t="s">
        <v>24</v>
      </c>
      <c r="C26" s="31" t="s">
        <v>112</v>
      </c>
      <c r="D26" s="23"/>
      <c r="E26" s="22"/>
      <c r="F26" s="14">
        <f>IF(P26&lt;0,0,IF(AND(E26=0,D26=0),0,ROUNDDOWN(P26,0)))</f>
        <v>0</v>
      </c>
      <c r="H26" s="5">
        <v>325</v>
      </c>
      <c r="I26" s="5">
        <v>0.46</v>
      </c>
      <c r="J26" s="5"/>
      <c r="M26">
        <f>(D26*60+E26)*10</f>
        <v>0</v>
      </c>
      <c r="N26">
        <f>H26*10</f>
        <v>3250</v>
      </c>
      <c r="O26">
        <f t="shared" si="8"/>
        <v>3250</v>
      </c>
      <c r="P26" s="6">
        <f t="shared" si="9"/>
        <v>2495</v>
      </c>
    </row>
    <row r="27" spans="2:17" ht="16" x14ac:dyDescent="0.2">
      <c r="B27" s="7"/>
      <c r="C27" s="7"/>
      <c r="D27" s="7"/>
      <c r="E27" s="39" t="s">
        <v>34</v>
      </c>
      <c r="F27" s="4"/>
      <c r="G27" s="4"/>
      <c r="H27" s="8"/>
      <c r="I27" s="8"/>
      <c r="J27" s="8"/>
      <c r="K27" s="4"/>
      <c r="L27" s="4"/>
      <c r="M27" s="4"/>
      <c r="N27" s="4"/>
      <c r="O27" s="4"/>
      <c r="P27" s="4"/>
      <c r="Q27" s="4"/>
    </row>
    <row r="28" spans="2:17" x14ac:dyDescent="0.15">
      <c r="B28" s="16" t="s">
        <v>10</v>
      </c>
      <c r="C28" s="18"/>
      <c r="D28" s="26"/>
      <c r="E28" s="21"/>
      <c r="F28" s="14">
        <f t="shared" ref="F28:F37" si="10">IF(P28&lt;0,0,IF(E28=0,0,ROUNDDOWN(P28,0)))</f>
        <v>0</v>
      </c>
      <c r="H28" s="5">
        <v>1.64</v>
      </c>
      <c r="I28" s="5">
        <v>7.5</v>
      </c>
      <c r="J28" s="5"/>
      <c r="M28">
        <f t="shared" ref="M28:M37" si="11">E28*100</f>
        <v>0</v>
      </c>
      <c r="N28">
        <f t="shared" ref="N28:N37" si="12">H28*100</f>
        <v>164</v>
      </c>
      <c r="O28">
        <f t="shared" ref="O28:O35" si="13">N28-M28</f>
        <v>164</v>
      </c>
      <c r="P28" s="6">
        <f t="shared" ref="P28:P33" si="14">1000-O28*I28</f>
        <v>-230</v>
      </c>
    </row>
    <row r="29" spans="2:17" x14ac:dyDescent="0.15">
      <c r="B29" s="16" t="s">
        <v>27</v>
      </c>
      <c r="C29" s="19"/>
      <c r="D29" s="27"/>
      <c r="E29" s="21"/>
      <c r="F29" s="14">
        <f t="shared" si="10"/>
        <v>0</v>
      </c>
      <c r="H29" s="5">
        <v>1.35</v>
      </c>
      <c r="I29" s="5">
        <v>9.5</v>
      </c>
      <c r="J29" s="5"/>
      <c r="M29">
        <f t="shared" si="11"/>
        <v>0</v>
      </c>
      <c r="N29">
        <f t="shared" si="12"/>
        <v>135</v>
      </c>
      <c r="O29">
        <f t="shared" si="13"/>
        <v>135</v>
      </c>
      <c r="P29" s="6">
        <f t="shared" si="14"/>
        <v>-282.5</v>
      </c>
    </row>
    <row r="30" spans="2:17" x14ac:dyDescent="0.15">
      <c r="B30" s="16" t="s">
        <v>28</v>
      </c>
      <c r="C30" s="19"/>
      <c r="D30" s="27"/>
      <c r="E30" s="21"/>
      <c r="F30" s="14">
        <f t="shared" si="10"/>
        <v>0</v>
      </c>
      <c r="H30" s="5">
        <v>3.1</v>
      </c>
      <c r="I30" s="5">
        <f>IF(E30&lt;0.8*H30,L30,Q30)</f>
        <v>8</v>
      </c>
      <c r="J30" s="5">
        <v>2</v>
      </c>
      <c r="K30" s="5">
        <v>4</v>
      </c>
      <c r="L30" s="5">
        <v>8</v>
      </c>
      <c r="M30">
        <f t="shared" si="11"/>
        <v>0</v>
      </c>
      <c r="N30">
        <f t="shared" si="12"/>
        <v>310</v>
      </c>
      <c r="O30">
        <f t="shared" si="13"/>
        <v>310</v>
      </c>
      <c r="P30" s="6">
        <f>IF(E30&lt;0.8*H30,1000-((N30-0.8*N30)*K30+(O30-(N30-N30*0.8))*L30),1000-O30*I30)</f>
        <v>-1232</v>
      </c>
      <c r="Q30" s="5">
        <f>IF(E30&gt;H30,J30,K30)</f>
        <v>4</v>
      </c>
    </row>
    <row r="31" spans="2:17" x14ac:dyDescent="0.15">
      <c r="B31" s="16" t="s">
        <v>11</v>
      </c>
      <c r="C31" s="19"/>
      <c r="D31" s="27"/>
      <c r="E31" s="21"/>
      <c r="F31" s="14">
        <f t="shared" si="10"/>
        <v>0</v>
      </c>
      <c r="H31" s="5">
        <v>5.47</v>
      </c>
      <c r="I31" s="5">
        <v>2.1</v>
      </c>
      <c r="J31" s="5"/>
      <c r="M31">
        <f t="shared" si="11"/>
        <v>0</v>
      </c>
      <c r="N31">
        <f t="shared" si="12"/>
        <v>547</v>
      </c>
      <c r="O31">
        <f t="shared" si="13"/>
        <v>547</v>
      </c>
      <c r="P31" s="6">
        <f t="shared" si="14"/>
        <v>-148.70000000000005</v>
      </c>
    </row>
    <row r="32" spans="2:17" x14ac:dyDescent="0.15">
      <c r="B32" s="16" t="s">
        <v>29</v>
      </c>
      <c r="C32" s="19"/>
      <c r="D32" s="27"/>
      <c r="E32" s="21"/>
      <c r="F32" s="14">
        <f t="shared" si="10"/>
        <v>0</v>
      </c>
      <c r="H32" s="5">
        <v>2.59</v>
      </c>
      <c r="I32" s="5">
        <v>6</v>
      </c>
      <c r="J32" s="5"/>
      <c r="M32">
        <f t="shared" si="11"/>
        <v>0</v>
      </c>
      <c r="N32">
        <f t="shared" si="12"/>
        <v>259</v>
      </c>
      <c r="O32">
        <f t="shared" si="13"/>
        <v>259</v>
      </c>
      <c r="P32" s="6">
        <f t="shared" si="14"/>
        <v>-554</v>
      </c>
    </row>
    <row r="33" spans="2:17" x14ac:dyDescent="0.15">
      <c r="B33" s="16" t="s">
        <v>30</v>
      </c>
      <c r="C33" s="20"/>
      <c r="D33" s="27"/>
      <c r="E33" s="21"/>
      <c r="F33" s="14">
        <f t="shared" si="10"/>
        <v>0</v>
      </c>
      <c r="H33" s="5">
        <v>11.9</v>
      </c>
      <c r="I33" s="5">
        <v>1</v>
      </c>
      <c r="J33" s="5"/>
      <c r="M33">
        <f t="shared" si="11"/>
        <v>0</v>
      </c>
      <c r="N33">
        <f t="shared" si="12"/>
        <v>1190</v>
      </c>
      <c r="O33">
        <f t="shared" si="13"/>
        <v>1190</v>
      </c>
      <c r="P33" s="6">
        <f t="shared" si="14"/>
        <v>-190</v>
      </c>
    </row>
    <row r="34" spans="2:17" x14ac:dyDescent="0.15">
      <c r="B34" s="16" t="s">
        <v>86</v>
      </c>
      <c r="C34" s="31" t="s">
        <v>99</v>
      </c>
      <c r="D34" s="27"/>
      <c r="E34" s="21"/>
      <c r="F34" s="14">
        <f t="shared" si="10"/>
        <v>0</v>
      </c>
      <c r="H34" s="5">
        <v>12</v>
      </c>
      <c r="I34" s="5">
        <f>IF(E34&lt;0.8*H34,L34,Q34)</f>
        <v>1.2</v>
      </c>
      <c r="J34" s="5">
        <v>0.3</v>
      </c>
      <c r="K34" s="5">
        <v>0.6</v>
      </c>
      <c r="L34" s="5">
        <v>1.2</v>
      </c>
      <c r="M34">
        <f t="shared" si="11"/>
        <v>0</v>
      </c>
      <c r="N34">
        <f t="shared" si="12"/>
        <v>1200</v>
      </c>
      <c r="O34">
        <f t="shared" si="13"/>
        <v>1200</v>
      </c>
      <c r="P34" s="6">
        <f>IF(E34&lt;0.8*H34,1000-((N34-0.8*N34)*K34+(O34-(N34-N34*0.8))*L34),1000-O34*I34)</f>
        <v>-296</v>
      </c>
      <c r="Q34" s="5">
        <f>IF(E34&gt;H34,J34,K34)</f>
        <v>0.6</v>
      </c>
    </row>
    <row r="35" spans="2:17" x14ac:dyDescent="0.15">
      <c r="B35" s="16" t="s">
        <v>87</v>
      </c>
      <c r="C35" s="31" t="s">
        <v>109</v>
      </c>
      <c r="D35" s="27"/>
      <c r="E35" s="21"/>
      <c r="F35" s="14">
        <f t="shared" si="10"/>
        <v>0</v>
      </c>
      <c r="H35" s="5">
        <v>37</v>
      </c>
      <c r="I35" s="5">
        <f>IF(E35&lt;0.8*H35,L35,Q35)</f>
        <v>0.6</v>
      </c>
      <c r="J35" s="5">
        <v>0.15</v>
      </c>
      <c r="K35" s="5">
        <v>0.3</v>
      </c>
      <c r="L35" s="5">
        <v>0.6</v>
      </c>
      <c r="M35">
        <f t="shared" si="11"/>
        <v>0</v>
      </c>
      <c r="N35">
        <f t="shared" si="12"/>
        <v>3700</v>
      </c>
      <c r="O35">
        <f t="shared" si="13"/>
        <v>3700</v>
      </c>
      <c r="P35" s="6">
        <f>IF(E35&lt;0.8*H35,1000-((N35-0.8*N35)*K35+(O35-(N35-N35*0.8))*L35),1000-O35*I35)</f>
        <v>-998</v>
      </c>
      <c r="Q35" s="5">
        <f>IF(E35&gt;H35,J35,K35)</f>
        <v>0.3</v>
      </c>
    </row>
    <row r="36" spans="2:17" x14ac:dyDescent="0.15">
      <c r="B36" s="51" t="s">
        <v>88</v>
      </c>
      <c r="C36" s="52" t="s">
        <v>143</v>
      </c>
      <c r="D36" s="27"/>
      <c r="E36" s="21"/>
      <c r="F36" s="14">
        <f t="shared" si="10"/>
        <v>0</v>
      </c>
      <c r="H36" s="5">
        <v>41</v>
      </c>
      <c r="I36" s="5">
        <f>IF(E36&lt;0.8*H36,L36,Q36)</f>
        <v>0.5</v>
      </c>
      <c r="J36" s="5">
        <v>0.12</v>
      </c>
      <c r="K36" s="5">
        <v>0.25</v>
      </c>
      <c r="L36" s="5">
        <v>0.5</v>
      </c>
      <c r="M36">
        <f t="shared" si="11"/>
        <v>0</v>
      </c>
      <c r="N36">
        <f t="shared" si="12"/>
        <v>4100</v>
      </c>
      <c r="O36">
        <f>N36-M36</f>
        <v>4100</v>
      </c>
      <c r="P36" s="6">
        <f>IF(E36&lt;0.8*H36,1000-((N36-0.8*N36)*K36+(O36-(N36-N36*0.8))*L36),1000-O36*I36)</f>
        <v>-845</v>
      </c>
      <c r="Q36" s="5">
        <f>IF(E36&gt;H36,J36,K36)</f>
        <v>0.25</v>
      </c>
    </row>
    <row r="37" spans="2:17" x14ac:dyDescent="0.15">
      <c r="B37" s="51" t="s">
        <v>89</v>
      </c>
      <c r="C37" s="52" t="s">
        <v>144</v>
      </c>
      <c r="D37" s="27"/>
      <c r="E37" s="21"/>
      <c r="F37" s="14">
        <f t="shared" si="10"/>
        <v>0</v>
      </c>
      <c r="H37" s="5">
        <v>40</v>
      </c>
      <c r="I37" s="5">
        <f>IF(E37&lt;0.8*H37,L37,Q37)</f>
        <v>0.5</v>
      </c>
      <c r="J37" s="5">
        <v>0.13</v>
      </c>
      <c r="K37" s="5">
        <v>0.25</v>
      </c>
      <c r="L37" s="5">
        <v>0.5</v>
      </c>
      <c r="M37">
        <f t="shared" si="11"/>
        <v>0</v>
      </c>
      <c r="N37">
        <f t="shared" si="12"/>
        <v>4000</v>
      </c>
      <c r="O37">
        <f>N37-M37</f>
        <v>4000</v>
      </c>
      <c r="P37" s="6">
        <f>IF(E37&lt;0.8*H37,1000-((N37-0.8*N37)*K37+(O37-(N37-N37*0.8))*L37),1000-O37*I37)</f>
        <v>-800</v>
      </c>
      <c r="Q37" s="5">
        <f>IF(E37&gt;H37,J37,K37)</f>
        <v>0.25</v>
      </c>
    </row>
    <row r="39" spans="2:17" x14ac:dyDescent="0.15">
      <c r="B39" s="60" t="s">
        <v>47</v>
      </c>
      <c r="C39" s="60"/>
      <c r="D39" s="60"/>
      <c r="E39" s="60"/>
      <c r="F39" s="60"/>
    </row>
    <row r="40" spans="2:17" x14ac:dyDescent="0.15">
      <c r="B40" s="60" t="s">
        <v>36</v>
      </c>
      <c r="C40" s="60"/>
      <c r="D40" s="60"/>
      <c r="E40" s="60"/>
      <c r="F40" s="60"/>
    </row>
    <row r="41" spans="2:17" x14ac:dyDescent="0.15">
      <c r="B41" s="60" t="s">
        <v>35</v>
      </c>
      <c r="C41" s="60"/>
      <c r="D41" s="60"/>
      <c r="E41" s="60"/>
      <c r="F41" s="60"/>
    </row>
    <row r="43" spans="2:17" ht="16" x14ac:dyDescent="0.2">
      <c r="B43" s="58" t="s">
        <v>146</v>
      </c>
      <c r="C43" s="59"/>
      <c r="D43" s="59"/>
      <c r="E43" s="59"/>
      <c r="F43" s="59"/>
    </row>
  </sheetData>
  <sheetProtection password="CCED" sheet="1" objects="1" scenarios="1" selectLockedCells="1"/>
  <mergeCells count="6">
    <mergeCell ref="D4:E4"/>
    <mergeCell ref="B4:C4"/>
    <mergeCell ref="B43:F43"/>
    <mergeCell ref="B39:F39"/>
    <mergeCell ref="B40:F40"/>
    <mergeCell ref="B41:F4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2"/>
  </sheetPr>
  <dimension ref="A1:Q42"/>
  <sheetViews>
    <sheetView showGridLines="0" showRowColHeaders="0" showOutlineSymbols="0" workbookViewId="0">
      <selection activeCell="E6" sqref="E6"/>
    </sheetView>
  </sheetViews>
  <sheetFormatPr baseColWidth="10" defaultColWidth="8.83203125" defaultRowHeight="13" x14ac:dyDescent="0.15"/>
  <cols>
    <col min="1" max="1" width="11.5" customWidth="1"/>
    <col min="2" max="2" width="15.6640625" customWidth="1"/>
    <col min="3" max="3" width="14.5" customWidth="1"/>
    <col min="4" max="6" width="11.5" customWidth="1"/>
    <col min="7" max="7" width="5.5" customWidth="1"/>
    <col min="8" max="8" width="9.6640625" hidden="1" customWidth="1"/>
    <col min="9" max="9" width="8.1640625" hidden="1" customWidth="1"/>
    <col min="10" max="10" width="8.33203125" hidden="1" customWidth="1"/>
    <col min="11" max="11" width="7.83203125" hidden="1" customWidth="1"/>
    <col min="12" max="12" width="8.6640625" hidden="1" customWidth="1"/>
    <col min="13" max="13" width="7.1640625" hidden="1" customWidth="1"/>
    <col min="14" max="14" width="7.6640625" hidden="1" customWidth="1"/>
    <col min="15" max="15" width="7.33203125" hidden="1" customWidth="1"/>
    <col min="16" max="16" width="13.83203125" hidden="1" customWidth="1"/>
    <col min="17" max="17" width="6.832031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56" t="s">
        <v>1</v>
      </c>
      <c r="E4" s="57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7" t="s">
        <v>32</v>
      </c>
      <c r="E5" s="38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6" t="s">
        <v>8</v>
      </c>
      <c r="C6" s="18"/>
      <c r="D6" s="26"/>
      <c r="E6" s="21"/>
      <c r="F6" s="14">
        <f t="shared" ref="F6:F24" si="0">IF(P6&lt;0,0,IF(E6=0,0,ROUNDDOWN(P6,0)))</f>
        <v>0</v>
      </c>
      <c r="H6" s="5">
        <v>7.55</v>
      </c>
      <c r="I6" s="5">
        <v>2.7</v>
      </c>
      <c r="J6" s="5"/>
      <c r="M6">
        <f t="shared" ref="M6:M11" si="1">E6*100</f>
        <v>0</v>
      </c>
      <c r="N6">
        <f t="shared" ref="N6:N11" si="2">H6*100</f>
        <v>755</v>
      </c>
      <c r="O6">
        <f t="shared" ref="O6:O22" si="3">N6-M6</f>
        <v>755</v>
      </c>
      <c r="P6" s="6">
        <f t="shared" ref="P6:P22" si="4">1000+O6*I6</f>
        <v>3038.5</v>
      </c>
    </row>
    <row r="7" spans="1:17" x14ac:dyDescent="0.15">
      <c r="B7" s="16" t="s">
        <v>69</v>
      </c>
      <c r="C7" s="19"/>
      <c r="D7" s="27"/>
      <c r="E7" s="21"/>
      <c r="F7" s="14">
        <f t="shared" si="0"/>
        <v>0</v>
      </c>
      <c r="H7" s="5">
        <v>9.8000000000000007</v>
      </c>
      <c r="I7" s="5">
        <v>2.2000000000000002</v>
      </c>
      <c r="J7" s="5"/>
      <c r="M7">
        <f t="shared" si="1"/>
        <v>0</v>
      </c>
      <c r="N7">
        <f t="shared" si="2"/>
        <v>980.00000000000011</v>
      </c>
      <c r="O7">
        <f>N7-M7</f>
        <v>980.00000000000011</v>
      </c>
      <c r="P7" s="6">
        <f>1000+O7*I7</f>
        <v>3156.0000000000005</v>
      </c>
    </row>
    <row r="8" spans="1:17" x14ac:dyDescent="0.15">
      <c r="B8" s="16" t="s">
        <v>13</v>
      </c>
      <c r="C8" s="19"/>
      <c r="D8" s="27"/>
      <c r="E8" s="21"/>
      <c r="F8" s="14">
        <f t="shared" si="0"/>
        <v>0</v>
      </c>
      <c r="H8" s="5">
        <v>11.95</v>
      </c>
      <c r="I8" s="5">
        <v>1.7</v>
      </c>
      <c r="J8" s="5"/>
      <c r="M8">
        <f t="shared" si="1"/>
        <v>0</v>
      </c>
      <c r="N8">
        <f t="shared" si="2"/>
        <v>1195</v>
      </c>
      <c r="O8">
        <f t="shared" si="3"/>
        <v>1195</v>
      </c>
      <c r="P8" s="6">
        <f t="shared" si="4"/>
        <v>3031.5</v>
      </c>
    </row>
    <row r="9" spans="1:17" x14ac:dyDescent="0.15">
      <c r="B9" s="16" t="s">
        <v>14</v>
      </c>
      <c r="C9" s="19"/>
      <c r="D9" s="27"/>
      <c r="E9" s="21"/>
      <c r="F9" s="14">
        <f t="shared" si="0"/>
        <v>0</v>
      </c>
      <c r="H9" s="5">
        <v>24</v>
      </c>
      <c r="I9" s="5">
        <v>0.85</v>
      </c>
      <c r="J9" s="5"/>
      <c r="M9">
        <f t="shared" si="1"/>
        <v>0</v>
      </c>
      <c r="N9">
        <f t="shared" si="2"/>
        <v>2400</v>
      </c>
      <c r="O9">
        <f t="shared" si="3"/>
        <v>2400</v>
      </c>
      <c r="P9" s="6">
        <f t="shared" si="4"/>
        <v>3040</v>
      </c>
    </row>
    <row r="10" spans="1:17" x14ac:dyDescent="0.15">
      <c r="B10" s="16" t="s">
        <v>15</v>
      </c>
      <c r="C10" s="19"/>
      <c r="D10" s="27"/>
      <c r="E10" s="21"/>
      <c r="F10" s="14">
        <f t="shared" si="0"/>
        <v>0</v>
      </c>
      <c r="H10" s="5">
        <v>38.6</v>
      </c>
      <c r="I10" s="5">
        <v>0.6</v>
      </c>
      <c r="J10" s="5"/>
      <c r="M10">
        <f t="shared" si="1"/>
        <v>0</v>
      </c>
      <c r="N10">
        <f t="shared" si="2"/>
        <v>3860</v>
      </c>
      <c r="O10">
        <f t="shared" si="3"/>
        <v>3860</v>
      </c>
      <c r="P10" s="6">
        <f t="shared" si="4"/>
        <v>3316</v>
      </c>
    </row>
    <row r="11" spans="1:17" x14ac:dyDescent="0.15">
      <c r="B11" s="16" t="s">
        <v>16</v>
      </c>
      <c r="C11" s="19"/>
      <c r="D11" s="30"/>
      <c r="E11" s="21"/>
      <c r="F11" s="14">
        <f t="shared" si="0"/>
        <v>0</v>
      </c>
      <c r="H11" s="5">
        <v>54.3</v>
      </c>
      <c r="I11" s="5">
        <v>0.4</v>
      </c>
      <c r="J11" s="5"/>
      <c r="M11">
        <f t="shared" si="1"/>
        <v>0</v>
      </c>
      <c r="N11">
        <f t="shared" si="2"/>
        <v>5430</v>
      </c>
      <c r="O11">
        <f t="shared" si="3"/>
        <v>5430</v>
      </c>
      <c r="P11" s="6">
        <f t="shared" si="4"/>
        <v>3172</v>
      </c>
    </row>
    <row r="12" spans="1:17" x14ac:dyDescent="0.15">
      <c r="B12" s="15" t="s">
        <v>9</v>
      </c>
      <c r="C12" s="19"/>
      <c r="D12" s="23"/>
      <c r="E12" s="22"/>
      <c r="F12" s="14">
        <f t="shared" ref="F12:F21" si="5">IF(P12&lt;0,0,IF(AND(E12=0,D12=0),0,ROUNDDOWN(P12,0)))</f>
        <v>0</v>
      </c>
      <c r="H12" s="5">
        <v>88.5</v>
      </c>
      <c r="I12" s="5">
        <v>2.6</v>
      </c>
      <c r="J12" s="5"/>
      <c r="M12">
        <f t="shared" ref="M12:M21" si="6">(D12*60+E12)*10</f>
        <v>0</v>
      </c>
      <c r="N12">
        <f t="shared" ref="N12:N21" si="7">H12*10</f>
        <v>885</v>
      </c>
      <c r="O12">
        <f t="shared" si="3"/>
        <v>885</v>
      </c>
      <c r="P12" s="6">
        <f t="shared" si="4"/>
        <v>3301</v>
      </c>
    </row>
    <row r="13" spans="1:17" x14ac:dyDescent="0.15">
      <c r="B13" s="15" t="s">
        <v>20</v>
      </c>
      <c r="C13" s="19"/>
      <c r="D13" s="24"/>
      <c r="E13" s="22"/>
      <c r="F13" s="14">
        <f t="shared" si="5"/>
        <v>0</v>
      </c>
      <c r="H13" s="5">
        <v>124</v>
      </c>
      <c r="I13" s="5">
        <v>1.8</v>
      </c>
      <c r="J13" s="5"/>
      <c r="M13">
        <f t="shared" si="6"/>
        <v>0</v>
      </c>
      <c r="N13">
        <f t="shared" si="7"/>
        <v>1240</v>
      </c>
      <c r="O13">
        <f t="shared" si="3"/>
        <v>1240</v>
      </c>
      <c r="P13" s="6">
        <f t="shared" si="4"/>
        <v>3232</v>
      </c>
    </row>
    <row r="14" spans="1:17" x14ac:dyDescent="0.15">
      <c r="B14" s="15" t="s">
        <v>17</v>
      </c>
      <c r="C14" s="19"/>
      <c r="D14" s="24"/>
      <c r="E14" s="22"/>
      <c r="F14" s="14">
        <f t="shared" si="5"/>
        <v>0</v>
      </c>
      <c r="H14" s="5">
        <v>164</v>
      </c>
      <c r="I14" s="5">
        <v>1.1000000000000001</v>
      </c>
      <c r="J14" s="5"/>
      <c r="M14">
        <f t="shared" si="6"/>
        <v>0</v>
      </c>
      <c r="N14">
        <f t="shared" si="7"/>
        <v>1640</v>
      </c>
      <c r="O14">
        <f t="shared" si="3"/>
        <v>1640</v>
      </c>
      <c r="P14" s="6">
        <f t="shared" si="4"/>
        <v>2804</v>
      </c>
    </row>
    <row r="15" spans="1:17" x14ac:dyDescent="0.15">
      <c r="B15" s="15" t="s">
        <v>18</v>
      </c>
      <c r="C15" s="19"/>
      <c r="D15" s="24"/>
      <c r="E15" s="22"/>
      <c r="F15" s="14">
        <f t="shared" si="5"/>
        <v>0</v>
      </c>
      <c r="H15" s="5">
        <v>260</v>
      </c>
      <c r="I15" s="5">
        <v>0.7</v>
      </c>
      <c r="J15" s="5"/>
      <c r="M15">
        <f t="shared" si="6"/>
        <v>0</v>
      </c>
      <c r="N15">
        <f t="shared" si="7"/>
        <v>2600</v>
      </c>
      <c r="O15">
        <f t="shared" si="3"/>
        <v>2600</v>
      </c>
      <c r="P15" s="6">
        <f t="shared" si="4"/>
        <v>2820</v>
      </c>
    </row>
    <row r="16" spans="1:17" x14ac:dyDescent="0.15">
      <c r="B16" s="15" t="s">
        <v>19</v>
      </c>
      <c r="C16" s="19"/>
      <c r="D16" s="24"/>
      <c r="E16" s="22"/>
      <c r="F16" s="14">
        <f t="shared" si="5"/>
        <v>0</v>
      </c>
      <c r="H16" s="5">
        <v>365</v>
      </c>
      <c r="I16" s="5">
        <v>0.45</v>
      </c>
      <c r="J16" s="5"/>
      <c r="M16">
        <f t="shared" si="6"/>
        <v>0</v>
      </c>
      <c r="N16">
        <f t="shared" si="7"/>
        <v>3650</v>
      </c>
      <c r="O16">
        <f t="shared" si="3"/>
        <v>3650</v>
      </c>
      <c r="P16" s="6">
        <f t="shared" si="4"/>
        <v>2642.5</v>
      </c>
    </row>
    <row r="17" spans="2:17" x14ac:dyDescent="0.15">
      <c r="B17" s="16" t="s">
        <v>17</v>
      </c>
      <c r="C17" s="31" t="s">
        <v>137</v>
      </c>
      <c r="D17" s="25"/>
      <c r="E17" s="21"/>
      <c r="F17" s="14">
        <f t="shared" si="5"/>
        <v>0</v>
      </c>
      <c r="H17" s="5">
        <v>262</v>
      </c>
      <c r="I17" s="5">
        <v>0.7</v>
      </c>
      <c r="J17" s="5"/>
      <c r="M17">
        <f t="shared" si="6"/>
        <v>0</v>
      </c>
      <c r="N17">
        <f t="shared" si="7"/>
        <v>2620</v>
      </c>
      <c r="O17">
        <f>N17-M17</f>
        <v>2620</v>
      </c>
      <c r="P17" s="6">
        <f>1000+O17*I17</f>
        <v>2834</v>
      </c>
    </row>
    <row r="18" spans="2:17" x14ac:dyDescent="0.15">
      <c r="B18" s="16" t="s">
        <v>19</v>
      </c>
      <c r="C18" s="31" t="s">
        <v>137</v>
      </c>
      <c r="D18" s="25"/>
      <c r="E18" s="21"/>
      <c r="F18" s="14">
        <f t="shared" si="5"/>
        <v>0</v>
      </c>
      <c r="H18" s="5">
        <v>548</v>
      </c>
      <c r="I18" s="5">
        <v>0.3</v>
      </c>
      <c r="J18" s="5"/>
      <c r="M18">
        <f t="shared" si="6"/>
        <v>0</v>
      </c>
      <c r="N18">
        <f t="shared" si="7"/>
        <v>5480</v>
      </c>
      <c r="O18">
        <f>N18-M18</f>
        <v>5480</v>
      </c>
      <c r="P18" s="6">
        <f>1000+O18*I18</f>
        <v>2644</v>
      </c>
    </row>
    <row r="19" spans="2:17" x14ac:dyDescent="0.15">
      <c r="B19" s="16" t="s">
        <v>21</v>
      </c>
      <c r="C19" s="31" t="s">
        <v>137</v>
      </c>
      <c r="D19" s="25"/>
      <c r="E19" s="21"/>
      <c r="F19" s="14">
        <f t="shared" si="5"/>
        <v>0</v>
      </c>
      <c r="H19" s="5">
        <v>854</v>
      </c>
      <c r="I19" s="5">
        <v>0.18</v>
      </c>
      <c r="J19" s="5"/>
      <c r="M19">
        <f t="shared" si="6"/>
        <v>0</v>
      </c>
      <c r="N19">
        <f t="shared" si="7"/>
        <v>8540</v>
      </c>
      <c r="O19">
        <f>N19-M19</f>
        <v>8540</v>
      </c>
      <c r="P19" s="6">
        <f>1000+O19*I19</f>
        <v>2537.1999999999998</v>
      </c>
    </row>
    <row r="20" spans="2:17" x14ac:dyDescent="0.15">
      <c r="B20" s="16" t="s">
        <v>22</v>
      </c>
      <c r="C20" s="31" t="s">
        <v>137</v>
      </c>
      <c r="D20" s="25"/>
      <c r="E20" s="21"/>
      <c r="F20" s="14">
        <f>IF(P20&lt;0,0,IF(AND(E20=0,D20=0),0,ROUNDDOWN(P20,0)))</f>
        <v>0</v>
      </c>
      <c r="H20" s="5">
        <v>1500</v>
      </c>
      <c r="I20" s="5">
        <v>0.11</v>
      </c>
      <c r="J20" s="5"/>
      <c r="M20">
        <f>(D20*60+E20)*10</f>
        <v>0</v>
      </c>
      <c r="N20">
        <f>H20*10</f>
        <v>15000</v>
      </c>
      <c r="O20">
        <f>N20-M20</f>
        <v>15000</v>
      </c>
      <c r="P20" s="6">
        <f>1000+O20*I20</f>
        <v>2650</v>
      </c>
    </row>
    <row r="21" spans="2:17" x14ac:dyDescent="0.15">
      <c r="B21" s="16" t="s">
        <v>23</v>
      </c>
      <c r="C21" s="31" t="s">
        <v>137</v>
      </c>
      <c r="D21" s="25"/>
      <c r="E21" s="21"/>
      <c r="F21" s="14">
        <f t="shared" si="5"/>
        <v>0</v>
      </c>
      <c r="H21" s="5">
        <v>3180</v>
      </c>
      <c r="I21" s="5">
        <v>0.05</v>
      </c>
      <c r="J21" s="5"/>
      <c r="M21">
        <f t="shared" si="6"/>
        <v>0</v>
      </c>
      <c r="N21">
        <f t="shared" si="7"/>
        <v>31800</v>
      </c>
      <c r="O21">
        <f>N21-M21</f>
        <v>31800</v>
      </c>
      <c r="P21" s="6">
        <f>1000+O21*I21</f>
        <v>2590</v>
      </c>
    </row>
    <row r="22" spans="2:17" x14ac:dyDescent="0.15">
      <c r="B22" s="16" t="s">
        <v>113</v>
      </c>
      <c r="C22" s="31" t="s">
        <v>119</v>
      </c>
      <c r="D22" s="28"/>
      <c r="E22" s="21"/>
      <c r="F22" s="14">
        <f t="shared" si="0"/>
        <v>0</v>
      </c>
      <c r="H22" s="5">
        <v>14</v>
      </c>
      <c r="I22" s="5">
        <v>1.1000000000000001</v>
      </c>
      <c r="J22" s="5"/>
      <c r="M22">
        <f>E22*100</f>
        <v>0</v>
      </c>
      <c r="N22">
        <f>H22*100</f>
        <v>1400</v>
      </c>
      <c r="O22">
        <f t="shared" si="3"/>
        <v>1400</v>
      </c>
      <c r="P22" s="6">
        <f t="shared" si="4"/>
        <v>2540</v>
      </c>
    </row>
    <row r="23" spans="2:17" x14ac:dyDescent="0.15">
      <c r="B23" s="16" t="s">
        <v>81</v>
      </c>
      <c r="C23" s="31" t="s">
        <v>115</v>
      </c>
      <c r="D23" s="27"/>
      <c r="E23" s="21"/>
      <c r="F23" s="14">
        <f t="shared" si="0"/>
        <v>0</v>
      </c>
      <c r="H23" s="5">
        <v>28.4</v>
      </c>
      <c r="I23" s="5">
        <v>0.6</v>
      </c>
      <c r="J23" s="5"/>
      <c r="M23">
        <f>E23*100</f>
        <v>0</v>
      </c>
      <c r="N23">
        <f>H23*100</f>
        <v>2840</v>
      </c>
      <c r="O23">
        <f>N23-M23</f>
        <v>2840</v>
      </c>
      <c r="P23" s="6">
        <f>1000+O23*I23</f>
        <v>2704</v>
      </c>
    </row>
    <row r="24" spans="2:17" x14ac:dyDescent="0.15">
      <c r="B24" s="16" t="s">
        <v>102</v>
      </c>
      <c r="C24" s="31" t="s">
        <v>103</v>
      </c>
      <c r="D24" s="30"/>
      <c r="E24" s="21"/>
      <c r="F24" s="14">
        <f t="shared" si="0"/>
        <v>0</v>
      </c>
      <c r="H24" s="5">
        <v>43</v>
      </c>
      <c r="I24" s="5">
        <v>0.46</v>
      </c>
      <c r="J24" s="5"/>
      <c r="M24">
        <f>E24*100</f>
        <v>0</v>
      </c>
      <c r="N24">
        <f>H24*100</f>
        <v>4300</v>
      </c>
      <c r="O24">
        <f>N24-M24</f>
        <v>4300</v>
      </c>
      <c r="P24" s="6">
        <f>1000+O24*I24</f>
        <v>2978</v>
      </c>
    </row>
    <row r="25" spans="2:17" x14ac:dyDescent="0.15">
      <c r="B25" s="16" t="s">
        <v>24</v>
      </c>
      <c r="C25" s="31" t="s">
        <v>112</v>
      </c>
      <c r="D25" s="23"/>
      <c r="E25" s="22"/>
      <c r="F25" s="14">
        <f>IF(P25&lt;0,0,IF(AND(E25=0,D25=0),0,ROUNDDOWN(P25,0)))</f>
        <v>0</v>
      </c>
      <c r="H25" s="5">
        <v>288</v>
      </c>
      <c r="I25" s="5">
        <v>0.55000000000000004</v>
      </c>
      <c r="J25" s="5"/>
      <c r="M25">
        <f>(D25*60+E25)*10</f>
        <v>0</v>
      </c>
      <c r="N25">
        <f>H25*10</f>
        <v>2880</v>
      </c>
      <c r="O25">
        <f>N25-M25</f>
        <v>2880</v>
      </c>
      <c r="P25" s="6">
        <f>1000+O25*I25</f>
        <v>2584</v>
      </c>
    </row>
    <row r="26" spans="2:17" ht="16" x14ac:dyDescent="0.2">
      <c r="B26" s="7"/>
      <c r="C26" s="7"/>
      <c r="D26" s="7"/>
      <c r="E26" s="35" t="s">
        <v>34</v>
      </c>
      <c r="F26" s="4"/>
      <c r="G26" s="4"/>
      <c r="H26" s="8"/>
      <c r="I26" s="8"/>
      <c r="J26" s="8"/>
      <c r="K26" s="4"/>
      <c r="L26" s="4"/>
      <c r="M26" s="4"/>
      <c r="N26" s="4"/>
      <c r="O26" s="4"/>
      <c r="P26" s="4"/>
      <c r="Q26" s="4"/>
    </row>
    <row r="27" spans="2:17" x14ac:dyDescent="0.15">
      <c r="B27" s="16" t="s">
        <v>10</v>
      </c>
      <c r="C27" s="18"/>
      <c r="D27" s="26"/>
      <c r="E27" s="21"/>
      <c r="F27" s="14">
        <f t="shared" ref="F27:F36" si="8">IF(P27&lt;0,0,IF(E27=0,0,ROUNDDOWN(P27,0)))</f>
        <v>0</v>
      </c>
      <c r="H27" s="5">
        <v>1.8</v>
      </c>
      <c r="I27" s="5">
        <v>7</v>
      </c>
      <c r="J27" s="5"/>
      <c r="M27">
        <f t="shared" ref="M27:M36" si="9">E27*100</f>
        <v>0</v>
      </c>
      <c r="N27">
        <f t="shared" ref="N27:N36" si="10">H27*100</f>
        <v>180</v>
      </c>
      <c r="O27">
        <f t="shared" ref="O27:O36" si="11">N27-M27</f>
        <v>180</v>
      </c>
      <c r="P27" s="6">
        <f t="shared" ref="P27:P32" si="12">1000-O27*I27</f>
        <v>-260</v>
      </c>
    </row>
    <row r="28" spans="2:17" x14ac:dyDescent="0.15">
      <c r="B28" s="16" t="s">
        <v>27</v>
      </c>
      <c r="C28" s="19"/>
      <c r="D28" s="27"/>
      <c r="E28" s="21"/>
      <c r="F28" s="14">
        <f t="shared" si="8"/>
        <v>0</v>
      </c>
      <c r="H28" s="5">
        <v>1.44</v>
      </c>
      <c r="I28" s="5">
        <v>8.5</v>
      </c>
      <c r="J28" s="5"/>
      <c r="M28">
        <f t="shared" si="9"/>
        <v>0</v>
      </c>
      <c r="N28">
        <f t="shared" si="10"/>
        <v>144</v>
      </c>
      <c r="O28">
        <f t="shared" si="11"/>
        <v>144</v>
      </c>
      <c r="P28" s="6">
        <f t="shared" si="12"/>
        <v>-224</v>
      </c>
    </row>
    <row r="29" spans="2:17" x14ac:dyDescent="0.15">
      <c r="B29" s="16" t="s">
        <v>28</v>
      </c>
      <c r="C29" s="19"/>
      <c r="D29" s="27"/>
      <c r="E29" s="21"/>
      <c r="F29" s="14">
        <f t="shared" si="8"/>
        <v>0</v>
      </c>
      <c r="H29" s="5">
        <v>3.5</v>
      </c>
      <c r="I29" s="5">
        <f>IF(E29&lt;0.8*H29,L29,Q29)</f>
        <v>7</v>
      </c>
      <c r="J29" s="5">
        <v>1.7</v>
      </c>
      <c r="K29" s="5">
        <v>3.5</v>
      </c>
      <c r="L29" s="5">
        <v>7</v>
      </c>
      <c r="M29">
        <f t="shared" si="9"/>
        <v>0</v>
      </c>
      <c r="N29">
        <f t="shared" si="10"/>
        <v>350</v>
      </c>
      <c r="O29">
        <f t="shared" si="11"/>
        <v>350</v>
      </c>
      <c r="P29" s="6">
        <f>IF(E29&lt;0.8*H29,1000-((N29-0.8*N29)*K29+(O29-(N29-N29*0.8))*L29),1000-O29*I29)</f>
        <v>-1205</v>
      </c>
      <c r="Q29" s="5">
        <f>IF(E29&gt;H29,J29,K29)</f>
        <v>3.5</v>
      </c>
    </row>
    <row r="30" spans="2:17" x14ac:dyDescent="0.15">
      <c r="B30" s="16" t="s">
        <v>11</v>
      </c>
      <c r="C30" s="19"/>
      <c r="D30" s="27"/>
      <c r="E30" s="21"/>
      <c r="F30" s="14">
        <f t="shared" si="8"/>
        <v>0</v>
      </c>
      <c r="H30" s="5">
        <v>6.15</v>
      </c>
      <c r="I30" s="5">
        <v>2</v>
      </c>
      <c r="J30" s="5"/>
      <c r="M30">
        <f t="shared" si="9"/>
        <v>0</v>
      </c>
      <c r="N30">
        <f t="shared" si="10"/>
        <v>615</v>
      </c>
      <c r="O30">
        <f t="shared" si="11"/>
        <v>615</v>
      </c>
      <c r="P30" s="6">
        <f t="shared" si="12"/>
        <v>-230</v>
      </c>
    </row>
    <row r="31" spans="2:17" x14ac:dyDescent="0.15">
      <c r="B31" s="16" t="s">
        <v>29</v>
      </c>
      <c r="C31" s="19"/>
      <c r="D31" s="27"/>
      <c r="E31" s="21"/>
      <c r="F31" s="14">
        <f t="shared" si="8"/>
        <v>0</v>
      </c>
      <c r="H31" s="5">
        <v>2.88</v>
      </c>
      <c r="I31" s="5">
        <v>5</v>
      </c>
      <c r="J31" s="5"/>
      <c r="M31">
        <f t="shared" si="9"/>
        <v>0</v>
      </c>
      <c r="N31">
        <f t="shared" si="10"/>
        <v>288</v>
      </c>
      <c r="O31">
        <f t="shared" si="11"/>
        <v>288</v>
      </c>
      <c r="P31" s="6">
        <f t="shared" si="12"/>
        <v>-440</v>
      </c>
    </row>
    <row r="32" spans="2:17" x14ac:dyDescent="0.15">
      <c r="B32" s="16" t="s">
        <v>30</v>
      </c>
      <c r="C32" s="20"/>
      <c r="D32" s="27"/>
      <c r="E32" s="21"/>
      <c r="F32" s="14">
        <f t="shared" si="8"/>
        <v>0</v>
      </c>
      <c r="H32" s="5">
        <v>12.8</v>
      </c>
      <c r="I32" s="5">
        <v>1</v>
      </c>
      <c r="J32" s="5"/>
      <c r="M32">
        <f t="shared" si="9"/>
        <v>0</v>
      </c>
      <c r="N32">
        <f t="shared" si="10"/>
        <v>1280</v>
      </c>
      <c r="O32">
        <f t="shared" si="11"/>
        <v>1280</v>
      </c>
      <c r="P32" s="6">
        <f t="shared" si="12"/>
        <v>-280</v>
      </c>
    </row>
    <row r="33" spans="2:17" x14ac:dyDescent="0.15">
      <c r="B33" s="16" t="s">
        <v>86</v>
      </c>
      <c r="C33" s="31" t="s">
        <v>108</v>
      </c>
      <c r="D33" s="27"/>
      <c r="E33" s="21"/>
      <c r="F33" s="14">
        <f t="shared" si="8"/>
        <v>0</v>
      </c>
      <c r="H33" s="5">
        <v>15.3</v>
      </c>
      <c r="I33" s="5">
        <f>IF(E33&lt;0.8*H33,L33,Q33)</f>
        <v>1.2</v>
      </c>
      <c r="J33" s="5">
        <v>0.3</v>
      </c>
      <c r="K33" s="5">
        <v>0.6</v>
      </c>
      <c r="L33" s="5">
        <v>1.2</v>
      </c>
      <c r="M33">
        <f t="shared" si="9"/>
        <v>0</v>
      </c>
      <c r="N33">
        <f t="shared" si="10"/>
        <v>1530</v>
      </c>
      <c r="O33">
        <f t="shared" si="11"/>
        <v>1530</v>
      </c>
      <c r="P33" s="6">
        <f>IF(E33&lt;0.8*H33,1000-((N33-0.8*N33)*K33+(O33-(N33-N33*0.8))*L33),1000-O33*I33)</f>
        <v>-652.39999999999986</v>
      </c>
      <c r="Q33" s="5">
        <f>IF(E33&gt;H33,J33,K33)</f>
        <v>0.6</v>
      </c>
    </row>
    <row r="34" spans="2:17" x14ac:dyDescent="0.15">
      <c r="B34" s="16" t="s">
        <v>87</v>
      </c>
      <c r="C34" s="31" t="s">
        <v>109</v>
      </c>
      <c r="D34" s="27"/>
      <c r="E34" s="21"/>
      <c r="F34" s="14">
        <f t="shared" si="8"/>
        <v>0</v>
      </c>
      <c r="H34" s="5">
        <v>51</v>
      </c>
      <c r="I34" s="5">
        <f>IF(E34&lt;0.8*H34,L34,Q34)</f>
        <v>0.5</v>
      </c>
      <c r="J34" s="5">
        <v>0.13</v>
      </c>
      <c r="K34" s="5">
        <v>0.25</v>
      </c>
      <c r="L34" s="5">
        <v>0.5</v>
      </c>
      <c r="M34">
        <f t="shared" si="9"/>
        <v>0</v>
      </c>
      <c r="N34">
        <f t="shared" si="10"/>
        <v>5100</v>
      </c>
      <c r="O34">
        <f t="shared" si="11"/>
        <v>5100</v>
      </c>
      <c r="P34" s="6">
        <f>IF(E34&lt;0.8*H34,1000-((N34-0.8*N34)*K34+(O34-(N34-N34*0.8))*L34),1000-O34*I34)</f>
        <v>-1295</v>
      </c>
      <c r="Q34" s="5">
        <f>IF(E34&gt;H34,J34,K34)</f>
        <v>0.25</v>
      </c>
    </row>
    <row r="35" spans="2:17" x14ac:dyDescent="0.15">
      <c r="B35" s="16" t="s">
        <v>88</v>
      </c>
      <c r="C35" s="31" t="s">
        <v>110</v>
      </c>
      <c r="D35" s="27"/>
      <c r="E35" s="21"/>
      <c r="F35" s="14">
        <f t="shared" si="8"/>
        <v>0</v>
      </c>
      <c r="H35" s="5">
        <v>50</v>
      </c>
      <c r="I35" s="5">
        <f>IF(E35&lt;0.8*H35,L35,Q35)</f>
        <v>0.4</v>
      </c>
      <c r="J35" s="5">
        <v>0.1</v>
      </c>
      <c r="K35" s="5">
        <v>0.2</v>
      </c>
      <c r="L35" s="5">
        <v>0.4</v>
      </c>
      <c r="M35">
        <f t="shared" si="9"/>
        <v>0</v>
      </c>
      <c r="N35">
        <f t="shared" si="10"/>
        <v>5000</v>
      </c>
      <c r="O35">
        <f t="shared" si="11"/>
        <v>5000</v>
      </c>
      <c r="P35" s="6">
        <f>IF(E35&lt;0.8*H35,1000-((N35-0.8*N35)*K35+(O35-(N35-N35*0.8))*L35),1000-O35*I35)</f>
        <v>-800</v>
      </c>
      <c r="Q35" s="5">
        <f>IF(E35&gt;H35,J35,K35)</f>
        <v>0.2</v>
      </c>
    </row>
    <row r="36" spans="2:17" x14ac:dyDescent="0.15">
      <c r="B36" s="16" t="s">
        <v>89</v>
      </c>
      <c r="C36" s="31" t="s">
        <v>95</v>
      </c>
      <c r="D36" s="30"/>
      <c r="E36" s="21"/>
      <c r="F36" s="14">
        <f t="shared" si="8"/>
        <v>0</v>
      </c>
      <c r="H36" s="5">
        <v>52</v>
      </c>
      <c r="I36" s="5">
        <f>IF(E36&lt;0.8*H36,L36,Q36)</f>
        <v>0.4</v>
      </c>
      <c r="J36" s="5">
        <v>0.1</v>
      </c>
      <c r="K36" s="5">
        <v>0.2</v>
      </c>
      <c r="L36" s="5">
        <v>0.4</v>
      </c>
      <c r="M36">
        <f t="shared" si="9"/>
        <v>0</v>
      </c>
      <c r="N36">
        <f t="shared" si="10"/>
        <v>5200</v>
      </c>
      <c r="O36">
        <f t="shared" si="11"/>
        <v>5200</v>
      </c>
      <c r="P36" s="6">
        <f>IF(E36&lt;0.8*H36,1000-((N36-0.8*N36)*K36+(O36-(N36-N36*0.8))*L36),1000-O36*I36)</f>
        <v>-872</v>
      </c>
      <c r="Q36" s="5">
        <f>IF(E36&gt;H36,J36,K36)</f>
        <v>0.2</v>
      </c>
    </row>
    <row r="38" spans="2:17" x14ac:dyDescent="0.15">
      <c r="B38" s="60" t="s">
        <v>47</v>
      </c>
      <c r="C38" s="60"/>
      <c r="D38" s="60"/>
      <c r="E38" s="60"/>
      <c r="F38" s="60"/>
    </row>
    <row r="39" spans="2:17" x14ac:dyDescent="0.15">
      <c r="B39" s="60" t="s">
        <v>36</v>
      </c>
      <c r="C39" s="60"/>
      <c r="D39" s="60"/>
      <c r="E39" s="60"/>
      <c r="F39" s="60"/>
    </row>
    <row r="40" spans="2:17" x14ac:dyDescent="0.15">
      <c r="B40" s="60" t="s">
        <v>35</v>
      </c>
      <c r="C40" s="60"/>
      <c r="D40" s="60"/>
      <c r="E40" s="60"/>
      <c r="F40" s="60"/>
    </row>
    <row r="42" spans="2:17" ht="16" x14ac:dyDescent="0.2">
      <c r="B42" s="58" t="s">
        <v>146</v>
      </c>
      <c r="C42" s="59"/>
      <c r="D42" s="59"/>
      <c r="E42" s="59"/>
      <c r="F42" s="59"/>
    </row>
  </sheetData>
  <sheetProtection password="CCED" sheet="1" objects="1" scenarios="1" selectLockedCells="1"/>
  <mergeCells count="6">
    <mergeCell ref="D4:E4"/>
    <mergeCell ref="B42:F42"/>
    <mergeCell ref="B4:C4"/>
    <mergeCell ref="B38:F38"/>
    <mergeCell ref="B39:F39"/>
    <mergeCell ref="B40:F40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0"/>
  </sheetPr>
  <dimension ref="A1:Q42"/>
  <sheetViews>
    <sheetView showGridLines="0" showRowColHeaders="0" showOutlineSymbols="0" workbookViewId="0">
      <selection activeCell="E6" sqref="E6"/>
    </sheetView>
  </sheetViews>
  <sheetFormatPr baseColWidth="10" defaultColWidth="8.83203125" defaultRowHeight="13" x14ac:dyDescent="0.15"/>
  <cols>
    <col min="1" max="1" width="11.5" customWidth="1"/>
    <col min="2" max="3" width="15.6640625" customWidth="1"/>
    <col min="4" max="6" width="11.5" customWidth="1"/>
    <col min="7" max="7" width="5" customWidth="1"/>
    <col min="8" max="8" width="9.5" hidden="1" customWidth="1"/>
    <col min="9" max="10" width="8.1640625" hidden="1" customWidth="1"/>
    <col min="11" max="11" width="9.1640625" hidden="1" customWidth="1"/>
    <col min="12" max="12" width="9" hidden="1" customWidth="1"/>
    <col min="13" max="13" width="6.33203125" hidden="1" customWidth="1"/>
    <col min="14" max="14" width="6.83203125" hidden="1" customWidth="1"/>
    <col min="15" max="15" width="7.6640625" hidden="1" customWidth="1"/>
    <col min="16" max="16" width="13.83203125" hidden="1" customWidth="1"/>
    <col min="17" max="17" width="6.832031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61" t="s">
        <v>1</v>
      </c>
      <c r="E4" s="61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9" t="s">
        <v>32</v>
      </c>
      <c r="E5" s="39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5" t="s">
        <v>8</v>
      </c>
      <c r="C6" s="18"/>
      <c r="D6" s="26"/>
      <c r="E6" s="22"/>
      <c r="F6" s="14">
        <f t="shared" ref="F6:F24" si="0">IF(P6&lt;0,0,IF(E6=0,0,ROUNDDOWN(P6,0)))</f>
        <v>0</v>
      </c>
      <c r="H6" s="5">
        <v>8.15</v>
      </c>
      <c r="I6" s="5">
        <v>2.7</v>
      </c>
      <c r="J6" s="5"/>
      <c r="M6">
        <f t="shared" ref="M6:M11" si="1">E6*100</f>
        <v>0</v>
      </c>
      <c r="N6">
        <f t="shared" ref="N6:N11" si="2">H6*100</f>
        <v>815</v>
      </c>
      <c r="O6">
        <f t="shared" ref="O6:O16" si="3">N6-M6</f>
        <v>815</v>
      </c>
      <c r="P6" s="6">
        <f t="shared" ref="P6:P16" si="4">1000+O6*I6</f>
        <v>3200.5</v>
      </c>
    </row>
    <row r="7" spans="1:17" x14ac:dyDescent="0.15">
      <c r="B7" s="16" t="s">
        <v>69</v>
      </c>
      <c r="C7" s="19"/>
      <c r="D7" s="27"/>
      <c r="E7" s="21"/>
      <c r="F7" s="14">
        <f t="shared" si="0"/>
        <v>0</v>
      </c>
      <c r="H7" s="5">
        <v>10.5</v>
      </c>
      <c r="I7" s="5">
        <v>2.1</v>
      </c>
      <c r="J7" s="5"/>
      <c r="M7">
        <f t="shared" si="1"/>
        <v>0</v>
      </c>
      <c r="N7">
        <f t="shared" si="2"/>
        <v>1050</v>
      </c>
      <c r="O7">
        <f>N7-M7</f>
        <v>1050</v>
      </c>
      <c r="P7" s="6">
        <f>1000+O7*I7</f>
        <v>3205</v>
      </c>
    </row>
    <row r="8" spans="1:17" x14ac:dyDescent="0.15">
      <c r="B8" s="16" t="s">
        <v>13</v>
      </c>
      <c r="C8" s="19"/>
      <c r="D8" s="27"/>
      <c r="E8" s="21"/>
      <c r="F8" s="14">
        <f t="shared" si="0"/>
        <v>0</v>
      </c>
      <c r="H8" s="5">
        <v>12.9</v>
      </c>
      <c r="I8" s="5">
        <v>1.6</v>
      </c>
      <c r="J8" s="5"/>
      <c r="M8">
        <f t="shared" si="1"/>
        <v>0</v>
      </c>
      <c r="N8">
        <f t="shared" si="2"/>
        <v>1290</v>
      </c>
      <c r="O8">
        <f t="shared" si="3"/>
        <v>1290</v>
      </c>
      <c r="P8" s="6">
        <f t="shared" si="4"/>
        <v>3064</v>
      </c>
    </row>
    <row r="9" spans="1:17" x14ac:dyDescent="0.15">
      <c r="B9" s="16" t="s">
        <v>14</v>
      </c>
      <c r="C9" s="19"/>
      <c r="D9" s="27"/>
      <c r="E9" s="21"/>
      <c r="F9" s="14">
        <f t="shared" si="0"/>
        <v>0</v>
      </c>
      <c r="H9" s="5">
        <v>26.5</v>
      </c>
      <c r="I9" s="5">
        <v>0.78</v>
      </c>
      <c r="J9" s="5"/>
      <c r="M9">
        <f t="shared" si="1"/>
        <v>0</v>
      </c>
      <c r="N9">
        <f t="shared" si="2"/>
        <v>2650</v>
      </c>
      <c r="O9">
        <f t="shared" si="3"/>
        <v>2650</v>
      </c>
      <c r="P9" s="6">
        <f t="shared" si="4"/>
        <v>3067</v>
      </c>
    </row>
    <row r="10" spans="1:17" x14ac:dyDescent="0.15">
      <c r="B10" s="16" t="s">
        <v>15</v>
      </c>
      <c r="C10" s="19"/>
      <c r="D10" s="27"/>
      <c r="E10" s="21"/>
      <c r="F10" s="14">
        <f t="shared" si="0"/>
        <v>0</v>
      </c>
      <c r="H10" s="5">
        <v>42.5</v>
      </c>
      <c r="I10" s="5">
        <v>0.5</v>
      </c>
      <c r="J10" s="5"/>
      <c r="M10">
        <f t="shared" si="1"/>
        <v>0</v>
      </c>
      <c r="N10">
        <f t="shared" si="2"/>
        <v>4250</v>
      </c>
      <c r="O10">
        <f t="shared" si="3"/>
        <v>4250</v>
      </c>
      <c r="P10" s="6">
        <f t="shared" si="4"/>
        <v>3125</v>
      </c>
    </row>
    <row r="11" spans="1:17" x14ac:dyDescent="0.15">
      <c r="B11" s="15" t="s">
        <v>16</v>
      </c>
      <c r="C11" s="19"/>
      <c r="D11" s="30"/>
      <c r="E11" s="22"/>
      <c r="F11" s="14">
        <f t="shared" si="0"/>
        <v>0</v>
      </c>
      <c r="H11" s="5">
        <v>60</v>
      </c>
      <c r="I11" s="5">
        <v>0.38</v>
      </c>
      <c r="J11" s="5"/>
      <c r="M11">
        <f t="shared" si="1"/>
        <v>0</v>
      </c>
      <c r="N11">
        <f t="shared" si="2"/>
        <v>6000</v>
      </c>
      <c r="O11">
        <f t="shared" si="3"/>
        <v>6000</v>
      </c>
      <c r="P11" s="6">
        <f t="shared" si="4"/>
        <v>3280</v>
      </c>
    </row>
    <row r="12" spans="1:17" x14ac:dyDescent="0.15">
      <c r="B12" s="15" t="s">
        <v>9</v>
      </c>
      <c r="C12" s="19"/>
      <c r="D12" s="24"/>
      <c r="E12" s="22"/>
      <c r="F12" s="14">
        <f t="shared" ref="F12:F21" si="5">IF(P12&lt;0,0,IF(AND(E12=0,D12=0),0,ROUNDDOWN(P12,0)))</f>
        <v>0</v>
      </c>
      <c r="H12" s="5">
        <v>98.5</v>
      </c>
      <c r="I12" s="5">
        <v>2.4</v>
      </c>
      <c r="J12" s="5"/>
      <c r="M12">
        <f t="shared" ref="M12:M21" si="6">(D12*60+E12)*10</f>
        <v>0</v>
      </c>
      <c r="N12">
        <f t="shared" ref="N12:N21" si="7">H12*10</f>
        <v>985</v>
      </c>
      <c r="O12">
        <f t="shared" si="3"/>
        <v>985</v>
      </c>
      <c r="P12" s="6">
        <f t="shared" si="4"/>
        <v>3364</v>
      </c>
    </row>
    <row r="13" spans="1:17" x14ac:dyDescent="0.15">
      <c r="B13" s="15" t="s">
        <v>20</v>
      </c>
      <c r="C13" s="19"/>
      <c r="D13" s="24"/>
      <c r="E13" s="22"/>
      <c r="F13" s="14">
        <f t="shared" si="5"/>
        <v>0</v>
      </c>
      <c r="H13" s="5">
        <v>138.5</v>
      </c>
      <c r="I13" s="5">
        <v>1.5</v>
      </c>
      <c r="J13" s="5"/>
      <c r="M13">
        <f t="shared" si="6"/>
        <v>0</v>
      </c>
      <c r="N13">
        <f t="shared" si="7"/>
        <v>1385</v>
      </c>
      <c r="O13">
        <f t="shared" si="3"/>
        <v>1385</v>
      </c>
      <c r="P13" s="6">
        <f t="shared" si="4"/>
        <v>3077.5</v>
      </c>
    </row>
    <row r="14" spans="1:17" x14ac:dyDescent="0.15">
      <c r="B14" s="15" t="s">
        <v>17</v>
      </c>
      <c r="C14" s="19"/>
      <c r="D14" s="24"/>
      <c r="E14" s="22"/>
      <c r="F14" s="14">
        <f t="shared" si="5"/>
        <v>0</v>
      </c>
      <c r="H14" s="5">
        <v>186.5</v>
      </c>
      <c r="I14" s="5">
        <v>1</v>
      </c>
      <c r="J14" s="5"/>
      <c r="M14">
        <f t="shared" si="6"/>
        <v>0</v>
      </c>
      <c r="N14">
        <f t="shared" si="7"/>
        <v>1865</v>
      </c>
      <c r="O14">
        <f t="shared" si="3"/>
        <v>1865</v>
      </c>
      <c r="P14" s="6">
        <f t="shared" si="4"/>
        <v>2865</v>
      </c>
    </row>
    <row r="15" spans="1:17" x14ac:dyDescent="0.15">
      <c r="B15" s="15" t="s">
        <v>18</v>
      </c>
      <c r="C15" s="19"/>
      <c r="D15" s="24"/>
      <c r="E15" s="22"/>
      <c r="F15" s="14">
        <f t="shared" si="5"/>
        <v>0</v>
      </c>
      <c r="H15" s="5">
        <v>286</v>
      </c>
      <c r="I15" s="5">
        <v>0.6</v>
      </c>
      <c r="J15" s="5"/>
      <c r="M15">
        <f t="shared" si="6"/>
        <v>0</v>
      </c>
      <c r="N15">
        <f t="shared" si="7"/>
        <v>2860</v>
      </c>
      <c r="O15">
        <f t="shared" si="3"/>
        <v>2860</v>
      </c>
      <c r="P15" s="6">
        <f t="shared" si="4"/>
        <v>2716</v>
      </c>
    </row>
    <row r="16" spans="1:17" x14ac:dyDescent="0.15">
      <c r="B16" s="15" t="s">
        <v>19</v>
      </c>
      <c r="C16" s="19"/>
      <c r="D16" s="24"/>
      <c r="E16" s="22"/>
      <c r="F16" s="14">
        <f t="shared" si="5"/>
        <v>0</v>
      </c>
      <c r="H16" s="5">
        <v>406</v>
      </c>
      <c r="I16" s="5">
        <v>0.4</v>
      </c>
      <c r="J16" s="5"/>
      <c r="M16">
        <f t="shared" si="6"/>
        <v>0</v>
      </c>
      <c r="N16">
        <f t="shared" si="7"/>
        <v>4060</v>
      </c>
      <c r="O16">
        <f t="shared" si="3"/>
        <v>4060</v>
      </c>
      <c r="P16" s="6">
        <f t="shared" si="4"/>
        <v>2624</v>
      </c>
    </row>
    <row r="17" spans="2:17" x14ac:dyDescent="0.15">
      <c r="B17" s="16" t="s">
        <v>17</v>
      </c>
      <c r="C17" s="31" t="s">
        <v>137</v>
      </c>
      <c r="D17" s="25"/>
      <c r="E17" s="21"/>
      <c r="F17" s="14">
        <f t="shared" si="5"/>
        <v>0</v>
      </c>
      <c r="H17" s="5">
        <v>275</v>
      </c>
      <c r="I17" s="5">
        <v>0.7</v>
      </c>
      <c r="J17" s="5"/>
      <c r="M17">
        <f t="shared" si="6"/>
        <v>0</v>
      </c>
      <c r="N17">
        <f t="shared" si="7"/>
        <v>2750</v>
      </c>
      <c r="O17">
        <f t="shared" ref="O17:O25" si="8">N17-M17</f>
        <v>2750</v>
      </c>
      <c r="P17" s="6">
        <f t="shared" ref="P17:P25" si="9">1000+O17*I17</f>
        <v>2925</v>
      </c>
    </row>
    <row r="18" spans="2:17" x14ac:dyDescent="0.15">
      <c r="B18" s="16" t="s">
        <v>19</v>
      </c>
      <c r="C18" s="31" t="s">
        <v>137</v>
      </c>
      <c r="D18" s="25"/>
      <c r="E18" s="21"/>
      <c r="F18" s="14">
        <f t="shared" si="5"/>
        <v>0</v>
      </c>
      <c r="H18" s="5">
        <v>600</v>
      </c>
      <c r="I18" s="5">
        <v>0.3</v>
      </c>
      <c r="J18" s="5"/>
      <c r="M18">
        <f t="shared" si="6"/>
        <v>0</v>
      </c>
      <c r="N18">
        <f t="shared" si="7"/>
        <v>6000</v>
      </c>
      <c r="O18">
        <f t="shared" si="8"/>
        <v>6000</v>
      </c>
      <c r="P18" s="6">
        <f t="shared" si="9"/>
        <v>2800</v>
      </c>
    </row>
    <row r="19" spans="2:17" x14ac:dyDescent="0.15">
      <c r="B19" s="16" t="s">
        <v>21</v>
      </c>
      <c r="C19" s="31" t="s">
        <v>137</v>
      </c>
      <c r="D19" s="25"/>
      <c r="E19" s="21"/>
      <c r="F19" s="14">
        <f t="shared" si="5"/>
        <v>0</v>
      </c>
      <c r="H19" s="5">
        <v>936</v>
      </c>
      <c r="I19" s="5">
        <v>0.18</v>
      </c>
      <c r="J19" s="5"/>
      <c r="M19">
        <f t="shared" si="6"/>
        <v>0</v>
      </c>
      <c r="N19">
        <f t="shared" si="7"/>
        <v>9360</v>
      </c>
      <c r="O19">
        <f t="shared" si="8"/>
        <v>9360</v>
      </c>
      <c r="P19" s="6">
        <f t="shared" si="9"/>
        <v>2684.8</v>
      </c>
    </row>
    <row r="20" spans="2:17" x14ac:dyDescent="0.15">
      <c r="B20" s="16" t="s">
        <v>22</v>
      </c>
      <c r="C20" s="31" t="s">
        <v>137</v>
      </c>
      <c r="D20" s="25"/>
      <c r="E20" s="21"/>
      <c r="F20" s="14">
        <f>IF(P20&lt;0,0,IF(AND(E20=0,D20=0),0,ROUNDDOWN(P20,0)))</f>
        <v>0</v>
      </c>
      <c r="H20" s="5">
        <v>1615</v>
      </c>
      <c r="I20" s="5">
        <v>0.1</v>
      </c>
      <c r="J20" s="5"/>
      <c r="M20">
        <f>(D20*60+E20)*10</f>
        <v>0</v>
      </c>
      <c r="N20">
        <f>H20*10</f>
        <v>16150</v>
      </c>
      <c r="O20">
        <f>N20-M20</f>
        <v>16150</v>
      </c>
      <c r="P20" s="6">
        <f>1000+O20*I20</f>
        <v>2615</v>
      </c>
    </row>
    <row r="21" spans="2:17" x14ac:dyDescent="0.15">
      <c r="B21" s="16" t="s">
        <v>23</v>
      </c>
      <c r="C21" s="31" t="s">
        <v>137</v>
      </c>
      <c r="D21" s="25"/>
      <c r="E21" s="21"/>
      <c r="F21" s="14">
        <f t="shared" si="5"/>
        <v>0</v>
      </c>
      <c r="H21" s="5">
        <v>3540</v>
      </c>
      <c r="I21" s="5">
        <v>0.05</v>
      </c>
      <c r="J21" s="5"/>
      <c r="M21">
        <f t="shared" si="6"/>
        <v>0</v>
      </c>
      <c r="N21">
        <f t="shared" si="7"/>
        <v>35400</v>
      </c>
      <c r="O21">
        <f t="shared" si="8"/>
        <v>35400</v>
      </c>
      <c r="P21" s="6">
        <f t="shared" si="9"/>
        <v>2770</v>
      </c>
    </row>
    <row r="22" spans="2:17" x14ac:dyDescent="0.15">
      <c r="B22" s="16" t="s">
        <v>104</v>
      </c>
      <c r="C22" s="31" t="s">
        <v>111</v>
      </c>
      <c r="D22" s="28"/>
      <c r="E22" s="21"/>
      <c r="F22" s="14">
        <f t="shared" si="0"/>
        <v>0</v>
      </c>
      <c r="H22" s="5">
        <v>12.5</v>
      </c>
      <c r="I22" s="5">
        <v>1.4</v>
      </c>
      <c r="J22" s="5"/>
      <c r="M22">
        <f>E22*100</f>
        <v>0</v>
      </c>
      <c r="N22">
        <f>H22*100</f>
        <v>1250</v>
      </c>
      <c r="O22">
        <f t="shared" si="8"/>
        <v>1250</v>
      </c>
      <c r="P22" s="6">
        <f t="shared" si="9"/>
        <v>2750</v>
      </c>
    </row>
    <row r="23" spans="2:17" x14ac:dyDescent="0.15">
      <c r="B23" s="16" t="s">
        <v>81</v>
      </c>
      <c r="C23" s="31" t="s">
        <v>98</v>
      </c>
      <c r="D23" s="27"/>
      <c r="E23" s="21"/>
      <c r="F23" s="14">
        <f t="shared" si="0"/>
        <v>0</v>
      </c>
      <c r="H23" s="5">
        <v>31</v>
      </c>
      <c r="I23" s="5">
        <v>0.5</v>
      </c>
      <c r="J23" s="5"/>
      <c r="M23">
        <f>E23*100</f>
        <v>0</v>
      </c>
      <c r="N23">
        <f>H23*100</f>
        <v>3100</v>
      </c>
      <c r="O23">
        <f t="shared" si="8"/>
        <v>3100</v>
      </c>
      <c r="P23" s="6">
        <f t="shared" si="9"/>
        <v>2550</v>
      </c>
    </row>
    <row r="24" spans="2:17" x14ac:dyDescent="0.15">
      <c r="B24" s="16" t="s">
        <v>102</v>
      </c>
      <c r="C24" s="31" t="s">
        <v>103</v>
      </c>
      <c r="D24" s="30"/>
      <c r="E24" s="21"/>
      <c r="F24" s="14">
        <f t="shared" si="0"/>
        <v>0</v>
      </c>
      <c r="H24" s="5">
        <v>47</v>
      </c>
      <c r="I24" s="5">
        <v>0.4</v>
      </c>
      <c r="J24" s="5"/>
      <c r="M24">
        <f>E24*100</f>
        <v>0</v>
      </c>
      <c r="N24">
        <f>H24*100</f>
        <v>4700</v>
      </c>
      <c r="O24">
        <f t="shared" si="8"/>
        <v>4700</v>
      </c>
      <c r="P24" s="6">
        <f t="shared" si="9"/>
        <v>2880</v>
      </c>
    </row>
    <row r="25" spans="2:17" x14ac:dyDescent="0.15">
      <c r="B25" s="16" t="s">
        <v>24</v>
      </c>
      <c r="C25" s="31" t="s">
        <v>112</v>
      </c>
      <c r="D25" s="23"/>
      <c r="E25" s="22"/>
      <c r="F25" s="14">
        <f>IF(P25&lt;0,0,IF(AND(E25=0,D25=0),0,ROUNDDOWN(P25,0)))</f>
        <v>0</v>
      </c>
      <c r="H25" s="5">
        <v>330</v>
      </c>
      <c r="I25" s="5">
        <v>0.46</v>
      </c>
      <c r="J25" s="5"/>
      <c r="M25">
        <f>(D25*60+E25)*10</f>
        <v>0</v>
      </c>
      <c r="N25">
        <f>H25*10</f>
        <v>3300</v>
      </c>
      <c r="O25">
        <f t="shared" si="8"/>
        <v>3300</v>
      </c>
      <c r="P25" s="6">
        <f t="shared" si="9"/>
        <v>2518</v>
      </c>
    </row>
    <row r="26" spans="2:17" ht="16" x14ac:dyDescent="0.2">
      <c r="B26" s="7"/>
      <c r="C26" s="7"/>
      <c r="D26" s="7"/>
      <c r="E26" s="39" t="s">
        <v>34</v>
      </c>
      <c r="F26" s="4"/>
      <c r="G26" s="4"/>
      <c r="H26" s="8"/>
      <c r="I26" s="8"/>
      <c r="J26" s="8"/>
      <c r="K26" s="4"/>
      <c r="L26" s="4"/>
      <c r="M26" s="4"/>
      <c r="N26" s="4"/>
      <c r="O26" s="4"/>
      <c r="P26" s="4"/>
      <c r="Q26" s="4"/>
    </row>
    <row r="27" spans="2:17" x14ac:dyDescent="0.15">
      <c r="B27" s="16" t="s">
        <v>10</v>
      </c>
      <c r="C27" s="18"/>
      <c r="D27" s="26"/>
      <c r="E27" s="21"/>
      <c r="F27" s="14">
        <f t="shared" ref="F27:F36" si="10">IF(P27&lt;0,0,IF(E27=0,0,ROUNDDOWN(P27,0)))</f>
        <v>0</v>
      </c>
      <c r="H27" s="5">
        <v>1.61</v>
      </c>
      <c r="I27" s="5">
        <v>7.5</v>
      </c>
      <c r="J27" s="5"/>
      <c r="M27">
        <f t="shared" ref="M27:M36" si="11">E27*100</f>
        <v>0</v>
      </c>
      <c r="N27">
        <f t="shared" ref="N27:N36" si="12">H27*100</f>
        <v>161</v>
      </c>
      <c r="O27">
        <f t="shared" ref="O27:O36" si="13">N27-M27</f>
        <v>161</v>
      </c>
      <c r="P27" s="6">
        <f t="shared" ref="P27:P32" si="14">1000-O27*I27</f>
        <v>-207.5</v>
      </c>
    </row>
    <row r="28" spans="2:17" x14ac:dyDescent="0.15">
      <c r="B28" s="16" t="s">
        <v>27</v>
      </c>
      <c r="C28" s="19"/>
      <c r="D28" s="27"/>
      <c r="E28" s="21"/>
      <c r="F28" s="14">
        <f t="shared" si="10"/>
        <v>0</v>
      </c>
      <c r="H28" s="5">
        <v>1.33</v>
      </c>
      <c r="I28" s="5">
        <v>9.5</v>
      </c>
      <c r="J28" s="5"/>
      <c r="M28">
        <f t="shared" si="11"/>
        <v>0</v>
      </c>
      <c r="N28">
        <f t="shared" si="12"/>
        <v>133</v>
      </c>
      <c r="O28">
        <f t="shared" si="13"/>
        <v>133</v>
      </c>
      <c r="P28" s="6">
        <f t="shared" si="14"/>
        <v>-263.5</v>
      </c>
    </row>
    <row r="29" spans="2:17" x14ac:dyDescent="0.15">
      <c r="B29" s="16" t="s">
        <v>28</v>
      </c>
      <c r="C29" s="19"/>
      <c r="D29" s="27"/>
      <c r="E29" s="21"/>
      <c r="F29" s="14">
        <f t="shared" si="10"/>
        <v>0</v>
      </c>
      <c r="H29" s="5">
        <v>2.95</v>
      </c>
      <c r="I29" s="5">
        <f>IF(E29&lt;0.8*H29,L29,Q29)</f>
        <v>8</v>
      </c>
      <c r="J29" s="5">
        <v>2</v>
      </c>
      <c r="K29" s="5">
        <v>4</v>
      </c>
      <c r="L29" s="5">
        <v>8</v>
      </c>
      <c r="M29">
        <f t="shared" si="11"/>
        <v>0</v>
      </c>
      <c r="N29">
        <f t="shared" si="12"/>
        <v>295</v>
      </c>
      <c r="O29">
        <f t="shared" si="13"/>
        <v>295</v>
      </c>
      <c r="P29" s="6">
        <f>IF(E29&lt;0.8*H29,1000-((N29-0.8*N29)*K29+(O29-(N29-N29*0.8))*L29),1000-O29*I29)</f>
        <v>-1124</v>
      </c>
      <c r="Q29" s="5">
        <f>IF(E29&gt;H29,J29,K29)</f>
        <v>4</v>
      </c>
    </row>
    <row r="30" spans="2:17" x14ac:dyDescent="0.15">
      <c r="B30" s="16" t="s">
        <v>11</v>
      </c>
      <c r="C30" s="19"/>
      <c r="D30" s="27"/>
      <c r="E30" s="21"/>
      <c r="F30" s="14">
        <f t="shared" si="10"/>
        <v>0</v>
      </c>
      <c r="H30" s="5">
        <v>5.36</v>
      </c>
      <c r="I30" s="5">
        <v>2.1</v>
      </c>
      <c r="J30" s="5"/>
      <c r="M30">
        <f t="shared" si="11"/>
        <v>0</v>
      </c>
      <c r="N30">
        <f t="shared" si="12"/>
        <v>536</v>
      </c>
      <c r="O30">
        <f t="shared" si="13"/>
        <v>536</v>
      </c>
      <c r="P30" s="6">
        <f t="shared" si="14"/>
        <v>-125.60000000000014</v>
      </c>
    </row>
    <row r="31" spans="2:17" x14ac:dyDescent="0.15">
      <c r="B31" s="16" t="s">
        <v>29</v>
      </c>
      <c r="C31" s="19"/>
      <c r="D31" s="27"/>
      <c r="E31" s="21"/>
      <c r="F31" s="14">
        <f t="shared" si="10"/>
        <v>0</v>
      </c>
      <c r="H31" s="5">
        <v>2.54</v>
      </c>
      <c r="I31" s="5">
        <v>6</v>
      </c>
      <c r="J31" s="5"/>
      <c r="M31">
        <f t="shared" si="11"/>
        <v>0</v>
      </c>
      <c r="N31">
        <f t="shared" si="12"/>
        <v>254</v>
      </c>
      <c r="O31">
        <f t="shared" si="13"/>
        <v>254</v>
      </c>
      <c r="P31" s="6">
        <f t="shared" si="14"/>
        <v>-524</v>
      </c>
    </row>
    <row r="32" spans="2:17" x14ac:dyDescent="0.15">
      <c r="B32" s="16" t="s">
        <v>30</v>
      </c>
      <c r="C32" s="20"/>
      <c r="D32" s="27"/>
      <c r="E32" s="21"/>
      <c r="F32" s="14">
        <f t="shared" si="10"/>
        <v>0</v>
      </c>
      <c r="H32" s="5">
        <v>11.4</v>
      </c>
      <c r="I32" s="5">
        <v>1</v>
      </c>
      <c r="J32" s="5"/>
      <c r="M32">
        <f t="shared" si="11"/>
        <v>0</v>
      </c>
      <c r="N32">
        <f t="shared" si="12"/>
        <v>1140</v>
      </c>
      <c r="O32">
        <f t="shared" si="13"/>
        <v>1140</v>
      </c>
      <c r="P32" s="6">
        <f t="shared" si="14"/>
        <v>-140</v>
      </c>
    </row>
    <row r="33" spans="2:17" x14ac:dyDescent="0.15">
      <c r="B33" s="16" t="s">
        <v>86</v>
      </c>
      <c r="C33" s="31" t="s">
        <v>99</v>
      </c>
      <c r="D33" s="27"/>
      <c r="E33" s="21"/>
      <c r="F33" s="14">
        <f t="shared" si="10"/>
        <v>0</v>
      </c>
      <c r="H33" s="5">
        <v>11.4</v>
      </c>
      <c r="I33" s="5">
        <f>IF(E33&lt;0.8*H33,L33,Q33)</f>
        <v>1.2</v>
      </c>
      <c r="J33" s="5">
        <v>0.3</v>
      </c>
      <c r="K33" s="5">
        <v>0.6</v>
      </c>
      <c r="L33" s="5">
        <v>1.2</v>
      </c>
      <c r="M33">
        <f t="shared" si="11"/>
        <v>0</v>
      </c>
      <c r="N33">
        <f t="shared" si="12"/>
        <v>1140</v>
      </c>
      <c r="O33">
        <f t="shared" si="13"/>
        <v>1140</v>
      </c>
      <c r="P33" s="6">
        <f>IF(E33&lt;0.8*H33,1000-((N33-0.8*N33)*K33+(O33-(N33-N33*0.8))*L33),1000-O33*I33)</f>
        <v>-231.19999999999982</v>
      </c>
      <c r="Q33" s="5">
        <f>IF(E33&gt;H33,J33,K33)</f>
        <v>0.6</v>
      </c>
    </row>
    <row r="34" spans="2:17" x14ac:dyDescent="0.15">
      <c r="B34" s="16" t="s">
        <v>87</v>
      </c>
      <c r="C34" s="31" t="s">
        <v>100</v>
      </c>
      <c r="D34" s="27"/>
      <c r="E34" s="21"/>
      <c r="F34" s="14">
        <f t="shared" si="10"/>
        <v>0</v>
      </c>
      <c r="H34" s="5">
        <v>43</v>
      </c>
      <c r="I34" s="5">
        <f>IF(E34&lt;0.8*H34,L34,Q34)</f>
        <v>0.6</v>
      </c>
      <c r="J34" s="5">
        <v>0.15</v>
      </c>
      <c r="K34" s="5">
        <v>0.3</v>
      </c>
      <c r="L34" s="5">
        <v>0.6</v>
      </c>
      <c r="M34">
        <f t="shared" si="11"/>
        <v>0</v>
      </c>
      <c r="N34">
        <f t="shared" si="12"/>
        <v>4300</v>
      </c>
      <c r="O34">
        <f t="shared" si="13"/>
        <v>4300</v>
      </c>
      <c r="P34" s="6">
        <f>IF(E34&lt;0.8*H34,1000-((N34-0.8*N34)*K34+(O34-(N34-N34*0.8))*L34),1000-O34*I34)</f>
        <v>-1322</v>
      </c>
      <c r="Q34" s="5">
        <f>IF(E34&gt;H34,J34,K34)</f>
        <v>0.3</v>
      </c>
    </row>
    <row r="35" spans="2:17" x14ac:dyDescent="0.15">
      <c r="B35" s="16" t="s">
        <v>88</v>
      </c>
      <c r="C35" s="31" t="s">
        <v>143</v>
      </c>
      <c r="D35" s="27"/>
      <c r="E35" s="21"/>
      <c r="F35" s="14">
        <f t="shared" si="10"/>
        <v>0</v>
      </c>
      <c r="H35" s="5">
        <v>38</v>
      </c>
      <c r="I35" s="5">
        <f>IF(E35&lt;0.8*H35,L35,Q35)</f>
        <v>0.5</v>
      </c>
      <c r="J35" s="5">
        <v>0.12</v>
      </c>
      <c r="K35" s="5">
        <v>0.25</v>
      </c>
      <c r="L35" s="5">
        <v>0.5</v>
      </c>
      <c r="M35">
        <f t="shared" si="11"/>
        <v>0</v>
      </c>
      <c r="N35">
        <f t="shared" si="12"/>
        <v>3800</v>
      </c>
      <c r="O35">
        <f t="shared" si="13"/>
        <v>3800</v>
      </c>
      <c r="P35" s="6">
        <f>IF(E35&lt;0.8*H35,1000-((N35-0.8*N35)*K35+(O35-(N35-N35*0.8))*L35),1000-O35*I35)</f>
        <v>-710</v>
      </c>
      <c r="Q35" s="5">
        <f>IF(E35&gt;H35,J35,K35)</f>
        <v>0.25</v>
      </c>
    </row>
    <row r="36" spans="2:17" x14ac:dyDescent="0.15">
      <c r="B36" s="16" t="s">
        <v>89</v>
      </c>
      <c r="C36" s="31" t="s">
        <v>96</v>
      </c>
      <c r="D36" s="30"/>
      <c r="E36" s="21"/>
      <c r="F36" s="14">
        <f t="shared" si="10"/>
        <v>0</v>
      </c>
      <c r="H36" s="5">
        <v>42</v>
      </c>
      <c r="I36" s="5">
        <f>IF(E36&lt;0.8*H36,L36,Q36)</f>
        <v>0.5</v>
      </c>
      <c r="J36" s="5">
        <v>0.13</v>
      </c>
      <c r="K36" s="5">
        <v>0.25</v>
      </c>
      <c r="L36" s="5">
        <v>0.5</v>
      </c>
      <c r="M36">
        <f t="shared" si="11"/>
        <v>0</v>
      </c>
      <c r="N36">
        <f t="shared" si="12"/>
        <v>4200</v>
      </c>
      <c r="O36">
        <f t="shared" si="13"/>
        <v>4200</v>
      </c>
      <c r="P36" s="6">
        <f>IF(E36&lt;0.8*H36,1000-((N36-0.8*N36)*K36+(O36-(N36-N36*0.8))*L36),1000-O36*I36)</f>
        <v>-890</v>
      </c>
      <c r="Q36" s="5">
        <f>IF(E36&gt;H36,J36,K36)</f>
        <v>0.25</v>
      </c>
    </row>
    <row r="38" spans="2:17" x14ac:dyDescent="0.15">
      <c r="B38" s="60" t="s">
        <v>47</v>
      </c>
      <c r="C38" s="60"/>
      <c r="D38" s="60"/>
      <c r="E38" s="60"/>
      <c r="F38" s="60"/>
    </row>
    <row r="39" spans="2:17" x14ac:dyDescent="0.15">
      <c r="B39" s="60" t="s">
        <v>36</v>
      </c>
      <c r="C39" s="60"/>
      <c r="D39" s="60"/>
      <c r="E39" s="60"/>
      <c r="F39" s="60"/>
    </row>
    <row r="40" spans="2:17" x14ac:dyDescent="0.15">
      <c r="B40" s="60" t="s">
        <v>35</v>
      </c>
      <c r="C40" s="60"/>
      <c r="D40" s="60"/>
      <c r="E40" s="60"/>
      <c r="F40" s="60"/>
    </row>
    <row r="42" spans="2:17" ht="16" x14ac:dyDescent="0.2">
      <c r="B42" s="58" t="s">
        <v>146</v>
      </c>
      <c r="C42" s="59"/>
      <c r="D42" s="59"/>
      <c r="E42" s="59"/>
      <c r="F42" s="59"/>
    </row>
  </sheetData>
  <sheetProtection password="CCED" sheet="1" objects="1" scenarios="1" selectLockedCells="1"/>
  <mergeCells count="6">
    <mergeCell ref="D4:E4"/>
    <mergeCell ref="B4:C4"/>
    <mergeCell ref="B42:F42"/>
    <mergeCell ref="B38:F38"/>
    <mergeCell ref="B39:F39"/>
    <mergeCell ref="B40:F40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12"/>
  </sheetPr>
  <dimension ref="A1:Q42"/>
  <sheetViews>
    <sheetView showGridLines="0" showRowColHeaders="0" showOutlineSymbols="0" workbookViewId="0">
      <selection activeCell="E6" sqref="E6"/>
    </sheetView>
  </sheetViews>
  <sheetFormatPr baseColWidth="10" defaultColWidth="8.83203125" defaultRowHeight="13" x14ac:dyDescent="0.15"/>
  <cols>
    <col min="1" max="1" width="11.5" customWidth="1"/>
    <col min="2" max="2" width="15.6640625" customWidth="1"/>
    <col min="3" max="3" width="14.1640625" customWidth="1"/>
    <col min="4" max="6" width="11.5" customWidth="1"/>
    <col min="7" max="7" width="6" customWidth="1"/>
    <col min="8" max="8" width="9.83203125" hidden="1" customWidth="1"/>
    <col min="9" max="10" width="7.83203125" hidden="1" customWidth="1"/>
    <col min="11" max="11" width="8.83203125" hidden="1" customWidth="1"/>
    <col min="12" max="12" width="8" hidden="1" customWidth="1"/>
    <col min="13" max="13" width="6.5" hidden="1" customWidth="1"/>
    <col min="14" max="14" width="7.1640625" hidden="1" customWidth="1"/>
    <col min="15" max="15" width="7.5" hidden="1" customWidth="1"/>
    <col min="16" max="16" width="13" hidden="1" customWidth="1"/>
    <col min="17" max="17" width="6.66406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67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56" t="s">
        <v>1</v>
      </c>
      <c r="E4" s="57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7" t="s">
        <v>32</v>
      </c>
      <c r="E5" s="38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6" t="s">
        <v>8</v>
      </c>
      <c r="C6" s="19"/>
      <c r="D6" s="27"/>
      <c r="E6" s="21"/>
      <c r="F6" s="14">
        <f t="shared" ref="F6:F23" si="0">IF(P6&lt;0,0,IF(E6=0,0,ROUNDDOWN(P6,0)))</f>
        <v>0</v>
      </c>
      <c r="H6" s="5">
        <v>7.75</v>
      </c>
      <c r="I6" s="5">
        <v>2.7</v>
      </c>
      <c r="J6" s="5"/>
      <c r="M6">
        <f t="shared" ref="M6:M11" si="1">E6*100</f>
        <v>0</v>
      </c>
      <c r="N6">
        <f t="shared" ref="N6:N11" si="2">H6*100</f>
        <v>775</v>
      </c>
      <c r="O6">
        <f>N6-M6</f>
        <v>775</v>
      </c>
      <c r="P6" s="6">
        <f>1000+O6*I6</f>
        <v>3092.5</v>
      </c>
    </row>
    <row r="7" spans="1:17" x14ac:dyDescent="0.15">
      <c r="B7" s="16" t="s">
        <v>69</v>
      </c>
      <c r="C7" s="19"/>
      <c r="D7" s="27"/>
      <c r="E7" s="21"/>
      <c r="F7" s="14">
        <f t="shared" si="0"/>
        <v>0</v>
      </c>
      <c r="H7" s="5">
        <v>10.050000000000001</v>
      </c>
      <c r="I7" s="5">
        <v>2.2000000000000002</v>
      </c>
      <c r="J7" s="5"/>
      <c r="M7">
        <f t="shared" si="1"/>
        <v>0</v>
      </c>
      <c r="N7">
        <f t="shared" si="2"/>
        <v>1005.0000000000001</v>
      </c>
      <c r="O7">
        <f>N7-M7</f>
        <v>1005.0000000000001</v>
      </c>
      <c r="P7" s="6">
        <f>1000+O7*I7</f>
        <v>3211.0000000000005</v>
      </c>
    </row>
    <row r="8" spans="1:17" x14ac:dyDescent="0.15">
      <c r="B8" s="16" t="s">
        <v>13</v>
      </c>
      <c r="C8" s="19"/>
      <c r="D8" s="27"/>
      <c r="E8" s="21"/>
      <c r="F8" s="14">
        <f t="shared" si="0"/>
        <v>0</v>
      </c>
      <c r="H8" s="5">
        <v>12.35</v>
      </c>
      <c r="I8" s="5">
        <v>1.7</v>
      </c>
      <c r="J8" s="5"/>
      <c r="M8">
        <f t="shared" si="1"/>
        <v>0</v>
      </c>
      <c r="N8">
        <f t="shared" si="2"/>
        <v>1235</v>
      </c>
      <c r="O8">
        <f t="shared" ref="O8:O21" si="3">N8-M8</f>
        <v>1235</v>
      </c>
      <c r="P8" s="6">
        <f t="shared" ref="P8:P21" si="4">1000+O8*I8</f>
        <v>3099.5</v>
      </c>
    </row>
    <row r="9" spans="1:17" x14ac:dyDescent="0.15">
      <c r="B9" s="16" t="s">
        <v>14</v>
      </c>
      <c r="C9" s="19"/>
      <c r="D9" s="27"/>
      <c r="E9" s="21"/>
      <c r="F9" s="14">
        <f t="shared" si="0"/>
        <v>0</v>
      </c>
      <c r="H9" s="5">
        <v>24.8</v>
      </c>
      <c r="I9" s="5">
        <v>0.85</v>
      </c>
      <c r="J9" s="5"/>
      <c r="M9">
        <f t="shared" si="1"/>
        <v>0</v>
      </c>
      <c r="N9">
        <f t="shared" si="2"/>
        <v>2480</v>
      </c>
      <c r="O9">
        <f t="shared" si="3"/>
        <v>2480</v>
      </c>
      <c r="P9" s="6">
        <f t="shared" si="4"/>
        <v>3108</v>
      </c>
    </row>
    <row r="10" spans="1:17" x14ac:dyDescent="0.15">
      <c r="B10" s="16" t="s">
        <v>15</v>
      </c>
      <c r="C10" s="19"/>
      <c r="D10" s="27"/>
      <c r="E10" s="21"/>
      <c r="F10" s="14">
        <f t="shared" si="0"/>
        <v>0</v>
      </c>
      <c r="H10" s="5">
        <v>40</v>
      </c>
      <c r="I10" s="5">
        <v>0.6</v>
      </c>
      <c r="J10" s="5"/>
      <c r="M10">
        <f t="shared" si="1"/>
        <v>0</v>
      </c>
      <c r="N10">
        <f t="shared" si="2"/>
        <v>4000</v>
      </c>
      <c r="O10">
        <f t="shared" si="3"/>
        <v>4000</v>
      </c>
      <c r="P10" s="6">
        <f t="shared" si="4"/>
        <v>3400</v>
      </c>
    </row>
    <row r="11" spans="1:17" x14ac:dyDescent="0.15">
      <c r="B11" s="16" t="s">
        <v>16</v>
      </c>
      <c r="C11" s="19"/>
      <c r="D11" s="30"/>
      <c r="E11" s="21"/>
      <c r="F11" s="14">
        <f t="shared" si="0"/>
        <v>0</v>
      </c>
      <c r="H11" s="5">
        <v>56.5</v>
      </c>
      <c r="I11" s="5">
        <v>0.4</v>
      </c>
      <c r="J11" s="5"/>
      <c r="M11">
        <f t="shared" si="1"/>
        <v>0</v>
      </c>
      <c r="N11">
        <f t="shared" si="2"/>
        <v>5650</v>
      </c>
      <c r="O11">
        <f>N11-M11</f>
        <v>5650</v>
      </c>
      <c r="P11" s="6">
        <f>1000+O11*I11</f>
        <v>3260</v>
      </c>
    </row>
    <row r="12" spans="1:17" x14ac:dyDescent="0.15">
      <c r="B12" s="15" t="s">
        <v>9</v>
      </c>
      <c r="C12" s="19"/>
      <c r="D12" s="23"/>
      <c r="E12" s="22"/>
      <c r="F12" s="14">
        <f t="shared" ref="F12:F20" si="5">IF(P12&lt;0,0,IF(AND(E12=0,D12=0),0,ROUNDDOWN(P12,0)))</f>
        <v>0</v>
      </c>
      <c r="H12" s="5">
        <v>91</v>
      </c>
      <c r="I12" s="5">
        <v>2.6</v>
      </c>
      <c r="J12" s="5"/>
      <c r="M12">
        <f t="shared" ref="M12:M20" si="6">(D12*60+E12)*10</f>
        <v>0</v>
      </c>
      <c r="N12">
        <f t="shared" ref="N12:N20" si="7">H12*10</f>
        <v>910</v>
      </c>
      <c r="O12">
        <f t="shared" si="3"/>
        <v>910</v>
      </c>
      <c r="P12" s="6">
        <f t="shared" si="4"/>
        <v>3366</v>
      </c>
    </row>
    <row r="13" spans="1:17" x14ac:dyDescent="0.15">
      <c r="B13" s="15" t="s">
        <v>20</v>
      </c>
      <c r="C13" s="19"/>
      <c r="D13" s="24"/>
      <c r="E13" s="22"/>
      <c r="F13" s="14">
        <f t="shared" si="5"/>
        <v>0</v>
      </c>
      <c r="H13" s="5">
        <v>129</v>
      </c>
      <c r="I13" s="5">
        <v>1.8</v>
      </c>
      <c r="J13" s="5"/>
      <c r="M13">
        <f t="shared" si="6"/>
        <v>0</v>
      </c>
      <c r="N13">
        <f t="shared" si="7"/>
        <v>1290</v>
      </c>
      <c r="O13">
        <f t="shared" si="3"/>
        <v>1290</v>
      </c>
      <c r="P13" s="6">
        <f t="shared" si="4"/>
        <v>3322</v>
      </c>
    </row>
    <row r="14" spans="1:17" x14ac:dyDescent="0.15">
      <c r="B14" s="15" t="s">
        <v>17</v>
      </c>
      <c r="C14" s="19"/>
      <c r="D14" s="24"/>
      <c r="E14" s="22"/>
      <c r="F14" s="14">
        <f t="shared" si="5"/>
        <v>0</v>
      </c>
      <c r="H14" s="5">
        <v>169</v>
      </c>
      <c r="I14" s="5">
        <v>1.1000000000000001</v>
      </c>
      <c r="J14" s="5"/>
      <c r="M14">
        <f t="shared" si="6"/>
        <v>0</v>
      </c>
      <c r="N14">
        <f t="shared" si="7"/>
        <v>1690</v>
      </c>
      <c r="O14">
        <f t="shared" si="3"/>
        <v>1690</v>
      </c>
      <c r="P14" s="6">
        <f t="shared" si="4"/>
        <v>2859</v>
      </c>
    </row>
    <row r="15" spans="1:17" x14ac:dyDescent="0.15">
      <c r="B15" s="15" t="s">
        <v>18</v>
      </c>
      <c r="C15" s="19"/>
      <c r="D15" s="24"/>
      <c r="E15" s="22"/>
      <c r="F15" s="14">
        <f t="shared" si="5"/>
        <v>0</v>
      </c>
      <c r="H15" s="5">
        <v>268</v>
      </c>
      <c r="I15" s="5">
        <v>0.7</v>
      </c>
      <c r="J15" s="5"/>
      <c r="M15">
        <f t="shared" si="6"/>
        <v>0</v>
      </c>
      <c r="N15">
        <f t="shared" si="7"/>
        <v>2680</v>
      </c>
      <c r="O15">
        <f t="shared" si="3"/>
        <v>2680</v>
      </c>
      <c r="P15" s="6">
        <f t="shared" si="4"/>
        <v>2876</v>
      </c>
    </row>
    <row r="16" spans="1:17" x14ac:dyDescent="0.15">
      <c r="B16" s="15" t="s">
        <v>19</v>
      </c>
      <c r="C16" s="20"/>
      <c r="D16" s="24"/>
      <c r="E16" s="22"/>
      <c r="F16" s="14">
        <f t="shared" si="5"/>
        <v>0</v>
      </c>
      <c r="H16" s="5">
        <v>380</v>
      </c>
      <c r="I16" s="5">
        <v>0.45</v>
      </c>
      <c r="J16" s="5"/>
      <c r="M16">
        <f t="shared" si="6"/>
        <v>0</v>
      </c>
      <c r="N16">
        <f t="shared" si="7"/>
        <v>3800</v>
      </c>
      <c r="O16">
        <f t="shared" si="3"/>
        <v>3800</v>
      </c>
      <c r="P16" s="6">
        <f t="shared" si="4"/>
        <v>2710</v>
      </c>
    </row>
    <row r="17" spans="2:17" x14ac:dyDescent="0.15">
      <c r="B17" s="16" t="s">
        <v>17</v>
      </c>
      <c r="C17" s="48" t="s">
        <v>137</v>
      </c>
      <c r="D17" s="25"/>
      <c r="E17" s="21"/>
      <c r="F17" s="14">
        <f t="shared" si="5"/>
        <v>0</v>
      </c>
      <c r="H17" s="5">
        <v>271</v>
      </c>
      <c r="I17" s="5">
        <v>0.7</v>
      </c>
      <c r="J17" s="5"/>
      <c r="M17">
        <f t="shared" si="6"/>
        <v>0</v>
      </c>
      <c r="N17">
        <f t="shared" si="7"/>
        <v>2710</v>
      </c>
      <c r="O17">
        <f>N17-M17</f>
        <v>2710</v>
      </c>
      <c r="P17" s="6">
        <f>1000+O17*I17</f>
        <v>2897</v>
      </c>
    </row>
    <row r="18" spans="2:17" x14ac:dyDescent="0.15">
      <c r="B18" s="16" t="s">
        <v>19</v>
      </c>
      <c r="C18" s="48" t="s">
        <v>137</v>
      </c>
      <c r="D18" s="25"/>
      <c r="E18" s="21"/>
      <c r="F18" s="14">
        <f t="shared" si="5"/>
        <v>0</v>
      </c>
      <c r="H18" s="5">
        <v>570</v>
      </c>
      <c r="I18" s="5">
        <v>0.3</v>
      </c>
      <c r="J18" s="5"/>
      <c r="M18">
        <f t="shared" si="6"/>
        <v>0</v>
      </c>
      <c r="N18">
        <f t="shared" si="7"/>
        <v>5700</v>
      </c>
      <c r="O18">
        <f>N18-M18</f>
        <v>5700</v>
      </c>
      <c r="P18" s="6">
        <f>1000+O18*I18</f>
        <v>2710</v>
      </c>
    </row>
    <row r="19" spans="2:17" x14ac:dyDescent="0.15">
      <c r="B19" s="16" t="s">
        <v>21</v>
      </c>
      <c r="C19" s="48" t="s">
        <v>137</v>
      </c>
      <c r="D19" s="25"/>
      <c r="E19" s="21"/>
      <c r="F19" s="14">
        <f t="shared" si="5"/>
        <v>0</v>
      </c>
      <c r="H19" s="5">
        <v>892</v>
      </c>
      <c r="I19" s="5">
        <v>0.18</v>
      </c>
      <c r="J19" s="5"/>
      <c r="M19">
        <f t="shared" si="6"/>
        <v>0</v>
      </c>
      <c r="N19">
        <f t="shared" si="7"/>
        <v>8920</v>
      </c>
      <c r="O19">
        <f>N19-M19</f>
        <v>8920</v>
      </c>
      <c r="P19" s="6">
        <f>1000+O19*I19</f>
        <v>2605.6</v>
      </c>
    </row>
    <row r="20" spans="2:17" x14ac:dyDescent="0.15">
      <c r="B20" s="16" t="s">
        <v>22</v>
      </c>
      <c r="C20" s="48" t="s">
        <v>137</v>
      </c>
      <c r="D20" s="25"/>
      <c r="E20" s="21"/>
      <c r="F20" s="14">
        <f t="shared" si="5"/>
        <v>0</v>
      </c>
      <c r="H20" s="5">
        <v>1600</v>
      </c>
      <c r="I20" s="5">
        <v>0.11</v>
      </c>
      <c r="J20" s="5"/>
      <c r="M20">
        <f t="shared" si="6"/>
        <v>0</v>
      </c>
      <c r="N20">
        <f t="shared" si="7"/>
        <v>16000</v>
      </c>
      <c r="O20">
        <f>N20-M20</f>
        <v>16000</v>
      </c>
      <c r="P20" s="6">
        <f>1000+O20*I20</f>
        <v>2760</v>
      </c>
    </row>
    <row r="21" spans="2:17" x14ac:dyDescent="0.15">
      <c r="B21" s="16" t="s">
        <v>104</v>
      </c>
      <c r="C21" s="31" t="s">
        <v>105</v>
      </c>
      <c r="D21" s="28"/>
      <c r="E21" s="21"/>
      <c r="F21" s="14">
        <f t="shared" si="0"/>
        <v>0</v>
      </c>
      <c r="H21" s="5">
        <v>12.05</v>
      </c>
      <c r="I21" s="5">
        <v>1.4</v>
      </c>
      <c r="J21" s="5"/>
      <c r="M21">
        <f>E21*100</f>
        <v>0</v>
      </c>
      <c r="N21">
        <f>H21*100</f>
        <v>1205</v>
      </c>
      <c r="O21">
        <f t="shared" si="3"/>
        <v>1205</v>
      </c>
      <c r="P21" s="6">
        <f t="shared" si="4"/>
        <v>2687</v>
      </c>
    </row>
    <row r="22" spans="2:17" x14ac:dyDescent="0.15">
      <c r="B22" s="16" t="s">
        <v>81</v>
      </c>
      <c r="C22" s="31" t="s">
        <v>115</v>
      </c>
      <c r="D22" s="27"/>
      <c r="E22" s="21"/>
      <c r="F22" s="14">
        <f t="shared" si="0"/>
        <v>0</v>
      </c>
      <c r="H22" s="5">
        <v>29.2</v>
      </c>
      <c r="I22" s="5">
        <v>0.6</v>
      </c>
      <c r="J22" s="5"/>
      <c r="M22">
        <f>E22*100</f>
        <v>0</v>
      </c>
      <c r="N22">
        <f>H22*100</f>
        <v>2920</v>
      </c>
      <c r="O22">
        <f>N22-M22</f>
        <v>2920</v>
      </c>
      <c r="P22" s="6">
        <f>1000+O22*I22</f>
        <v>2752</v>
      </c>
    </row>
    <row r="23" spans="2:17" x14ac:dyDescent="0.15">
      <c r="B23" s="16" t="s">
        <v>102</v>
      </c>
      <c r="C23" s="31" t="s">
        <v>103</v>
      </c>
      <c r="D23" s="30"/>
      <c r="E23" s="21"/>
      <c r="F23" s="14">
        <f t="shared" si="0"/>
        <v>0</v>
      </c>
      <c r="H23" s="5">
        <v>44.7</v>
      </c>
      <c r="I23" s="5">
        <v>0.46</v>
      </c>
      <c r="J23" s="5"/>
      <c r="M23">
        <f>E23*100</f>
        <v>0</v>
      </c>
      <c r="N23">
        <f>H23*100</f>
        <v>4470</v>
      </c>
      <c r="O23">
        <f>N23-M23</f>
        <v>4470</v>
      </c>
      <c r="P23" s="6">
        <f>1000+O23*I23</f>
        <v>3056.2000000000003</v>
      </c>
    </row>
    <row r="24" spans="2:17" x14ac:dyDescent="0.15">
      <c r="B24" s="16" t="s">
        <v>24</v>
      </c>
      <c r="C24" s="31" t="s">
        <v>112</v>
      </c>
      <c r="D24" s="23"/>
      <c r="E24" s="22"/>
      <c r="F24" s="14">
        <f>IF(P24&lt;0,0,IF(AND(E24=0,D24=0),0,ROUNDDOWN(P24,0)))</f>
        <v>0</v>
      </c>
      <c r="H24" s="5">
        <v>300</v>
      </c>
      <c r="I24" s="5">
        <v>0.55000000000000004</v>
      </c>
      <c r="J24" s="5"/>
      <c r="M24">
        <f>(D24*60+E24)*10</f>
        <v>0</v>
      </c>
      <c r="N24">
        <f>H24*10</f>
        <v>3000</v>
      </c>
      <c r="O24">
        <f>N24-M24</f>
        <v>3000</v>
      </c>
      <c r="P24" s="6">
        <f>1000+O24*I24</f>
        <v>2650</v>
      </c>
    </row>
    <row r="25" spans="2:17" ht="16" x14ac:dyDescent="0.2">
      <c r="B25" s="7"/>
      <c r="C25" s="7"/>
      <c r="D25" s="7"/>
      <c r="E25" s="35" t="s">
        <v>34</v>
      </c>
      <c r="F25" s="4"/>
      <c r="G25" s="4"/>
      <c r="H25" s="8"/>
      <c r="I25" s="8"/>
      <c r="J25" s="8"/>
      <c r="K25" s="4"/>
      <c r="L25" s="4"/>
      <c r="M25" s="4"/>
      <c r="N25" s="4"/>
      <c r="O25" s="4"/>
      <c r="P25" s="4"/>
      <c r="Q25" s="4"/>
    </row>
    <row r="26" spans="2:17" x14ac:dyDescent="0.15">
      <c r="B26" s="16" t="s">
        <v>10</v>
      </c>
      <c r="C26" s="18"/>
      <c r="D26" s="26"/>
      <c r="E26" s="21"/>
      <c r="F26" s="14">
        <f t="shared" ref="F26:F36" si="8">IF(P26&lt;0,0,IF(E26=0,0,ROUNDDOWN(P26,0)))</f>
        <v>0</v>
      </c>
      <c r="H26" s="5">
        <v>1.72</v>
      </c>
      <c r="I26" s="5">
        <v>7</v>
      </c>
      <c r="J26" s="5"/>
      <c r="M26">
        <f t="shared" ref="M26:M36" si="9">E26*100</f>
        <v>0</v>
      </c>
      <c r="N26">
        <f t="shared" ref="N26:N36" si="10">H26*100</f>
        <v>172</v>
      </c>
      <c r="O26">
        <f t="shared" ref="O26:O36" si="11">N26-M26</f>
        <v>172</v>
      </c>
      <c r="P26" s="6">
        <f t="shared" ref="P26:P31" si="12">1000-O26*I26</f>
        <v>-204</v>
      </c>
    </row>
    <row r="27" spans="2:17" x14ac:dyDescent="0.15">
      <c r="B27" s="16" t="s">
        <v>27</v>
      </c>
      <c r="C27" s="19"/>
      <c r="D27" s="27"/>
      <c r="E27" s="21"/>
      <c r="F27" s="14">
        <f t="shared" si="8"/>
        <v>0</v>
      </c>
      <c r="H27" s="5">
        <v>1.37</v>
      </c>
      <c r="I27" s="5">
        <v>8.5</v>
      </c>
      <c r="J27" s="5"/>
      <c r="M27">
        <f t="shared" si="9"/>
        <v>0</v>
      </c>
      <c r="N27">
        <f t="shared" si="10"/>
        <v>137</v>
      </c>
      <c r="O27">
        <f t="shared" si="11"/>
        <v>137</v>
      </c>
      <c r="P27" s="6">
        <f t="shared" si="12"/>
        <v>-164.5</v>
      </c>
    </row>
    <row r="28" spans="2:17" x14ac:dyDescent="0.15">
      <c r="B28" s="16" t="s">
        <v>28</v>
      </c>
      <c r="C28" s="19"/>
      <c r="D28" s="27"/>
      <c r="E28" s="21"/>
      <c r="F28" s="14">
        <f t="shared" si="8"/>
        <v>0</v>
      </c>
      <c r="H28" s="5">
        <v>3.2</v>
      </c>
      <c r="I28" s="5">
        <f>IF(E28&lt;0.8*H28,L28,Q28)</f>
        <v>7</v>
      </c>
      <c r="J28" s="5">
        <v>1.7</v>
      </c>
      <c r="K28" s="5">
        <v>3.5</v>
      </c>
      <c r="L28" s="5">
        <v>7</v>
      </c>
      <c r="M28">
        <f t="shared" si="9"/>
        <v>0</v>
      </c>
      <c r="N28">
        <f t="shared" si="10"/>
        <v>320</v>
      </c>
      <c r="O28">
        <f t="shared" si="11"/>
        <v>320</v>
      </c>
      <c r="P28" s="6">
        <f>IF(E28&lt;0.8*H28,1000-((N28-0.8*N28)*K28+(O28-(N28-N28*0.8))*L28),1000-O28*I28)</f>
        <v>-1016</v>
      </c>
      <c r="Q28" s="5">
        <f>IF(E28&gt;H28,J28,K28)</f>
        <v>3.5</v>
      </c>
    </row>
    <row r="29" spans="2:17" x14ac:dyDescent="0.15">
      <c r="B29" s="16" t="s">
        <v>11</v>
      </c>
      <c r="C29" s="19"/>
      <c r="D29" s="27"/>
      <c r="E29" s="21"/>
      <c r="F29" s="14">
        <f t="shared" si="8"/>
        <v>0</v>
      </c>
      <c r="H29" s="5">
        <v>5.75</v>
      </c>
      <c r="I29" s="5">
        <v>2</v>
      </c>
      <c r="J29" s="5"/>
      <c r="M29">
        <f t="shared" si="9"/>
        <v>0</v>
      </c>
      <c r="N29">
        <f t="shared" si="10"/>
        <v>575</v>
      </c>
      <c r="O29">
        <f t="shared" si="11"/>
        <v>575</v>
      </c>
      <c r="P29" s="6">
        <f t="shared" si="12"/>
        <v>-150</v>
      </c>
    </row>
    <row r="30" spans="2:17" x14ac:dyDescent="0.15">
      <c r="B30" s="16" t="s">
        <v>29</v>
      </c>
      <c r="C30" s="19"/>
      <c r="D30" s="27"/>
      <c r="E30" s="21"/>
      <c r="F30" s="14">
        <f t="shared" si="8"/>
        <v>0</v>
      </c>
      <c r="H30" s="5">
        <v>2.75</v>
      </c>
      <c r="I30" s="5">
        <v>5</v>
      </c>
      <c r="J30" s="5"/>
      <c r="M30">
        <f t="shared" si="9"/>
        <v>0</v>
      </c>
      <c r="N30">
        <f t="shared" si="10"/>
        <v>275</v>
      </c>
      <c r="O30">
        <f t="shared" si="11"/>
        <v>275</v>
      </c>
      <c r="P30" s="6">
        <f t="shared" si="12"/>
        <v>-375</v>
      </c>
    </row>
    <row r="31" spans="2:17" x14ac:dyDescent="0.15">
      <c r="B31" s="16" t="s">
        <v>30</v>
      </c>
      <c r="C31" s="20"/>
      <c r="D31" s="27"/>
      <c r="E31" s="21"/>
      <c r="F31" s="14">
        <f t="shared" si="8"/>
        <v>0</v>
      </c>
      <c r="H31" s="5">
        <v>12</v>
      </c>
      <c r="I31" s="5">
        <v>1</v>
      </c>
      <c r="J31" s="5"/>
      <c r="M31">
        <f t="shared" si="9"/>
        <v>0</v>
      </c>
      <c r="N31">
        <f t="shared" si="10"/>
        <v>1200</v>
      </c>
      <c r="O31">
        <f t="shared" si="11"/>
        <v>1200</v>
      </c>
      <c r="P31" s="6">
        <f t="shared" si="12"/>
        <v>-200</v>
      </c>
    </row>
    <row r="32" spans="2:17" x14ac:dyDescent="0.15">
      <c r="B32" s="16" t="s">
        <v>86</v>
      </c>
      <c r="C32" s="31" t="s">
        <v>108</v>
      </c>
      <c r="D32" s="27"/>
      <c r="E32" s="21"/>
      <c r="F32" s="14">
        <f t="shared" si="8"/>
        <v>0</v>
      </c>
      <c r="H32" s="5">
        <v>13.3</v>
      </c>
      <c r="I32" s="5">
        <f>IF(E32&lt;0.8*H32,L32,Q32)</f>
        <v>1.2</v>
      </c>
      <c r="J32" s="5">
        <v>0.3</v>
      </c>
      <c r="K32" s="5">
        <v>0.6</v>
      </c>
      <c r="L32" s="5">
        <v>1.2</v>
      </c>
      <c r="M32">
        <f t="shared" si="9"/>
        <v>0</v>
      </c>
      <c r="N32">
        <f t="shared" si="10"/>
        <v>1330</v>
      </c>
      <c r="O32">
        <f t="shared" si="11"/>
        <v>1330</v>
      </c>
      <c r="P32" s="6">
        <f>IF(E32&lt;0.8*H32,1000-((N32-0.8*N32)*K32+(O32-(N32-N32*0.8))*L32),1000-O32*I32)</f>
        <v>-436.39999999999986</v>
      </c>
      <c r="Q32" s="5">
        <f>IF(E32&gt;H32,J32,K32)</f>
        <v>0.6</v>
      </c>
    </row>
    <row r="33" spans="2:17" x14ac:dyDescent="0.15">
      <c r="B33" s="16" t="s">
        <v>87</v>
      </c>
      <c r="C33" s="31" t="s">
        <v>109</v>
      </c>
      <c r="D33" s="27"/>
      <c r="E33" s="21"/>
      <c r="F33" s="14">
        <f t="shared" si="8"/>
        <v>0</v>
      </c>
      <c r="H33" s="5">
        <v>44</v>
      </c>
      <c r="I33" s="5">
        <f>IF(E33&lt;0.8*H33,L33,Q33)</f>
        <v>0.5</v>
      </c>
      <c r="J33" s="5">
        <v>0.13</v>
      </c>
      <c r="K33" s="5">
        <v>0.25</v>
      </c>
      <c r="L33" s="5">
        <v>0.5</v>
      </c>
      <c r="M33">
        <f t="shared" si="9"/>
        <v>0</v>
      </c>
      <c r="N33">
        <f t="shared" si="10"/>
        <v>4400</v>
      </c>
      <c r="O33">
        <f t="shared" si="11"/>
        <v>4400</v>
      </c>
      <c r="P33" s="6">
        <f>IF(E33&lt;0.8*H33,1000-((N33-0.8*N33)*K33+(O33-(N33-N33*0.8))*L33),1000-O33*I33)</f>
        <v>-980</v>
      </c>
      <c r="Q33" s="5">
        <f>IF(E33&gt;H33,J33,K33)</f>
        <v>0.25</v>
      </c>
    </row>
    <row r="34" spans="2:17" x14ac:dyDescent="0.15">
      <c r="B34" s="16" t="s">
        <v>88</v>
      </c>
      <c r="C34" s="31" t="s">
        <v>110</v>
      </c>
      <c r="D34" s="27"/>
      <c r="E34" s="21"/>
      <c r="F34" s="14">
        <f t="shared" si="8"/>
        <v>0</v>
      </c>
      <c r="H34" s="5">
        <v>41</v>
      </c>
      <c r="I34" s="5">
        <f>IF(E34&lt;0.8*H34,L34,Q34)</f>
        <v>0.4</v>
      </c>
      <c r="J34" s="5">
        <v>0.1</v>
      </c>
      <c r="K34" s="5">
        <v>0.2</v>
      </c>
      <c r="L34" s="5">
        <v>0.4</v>
      </c>
      <c r="M34">
        <f t="shared" si="9"/>
        <v>0</v>
      </c>
      <c r="N34">
        <f t="shared" si="10"/>
        <v>4100</v>
      </c>
      <c r="O34">
        <f t="shared" si="11"/>
        <v>4100</v>
      </c>
      <c r="P34" s="6">
        <f>IF(E34&lt;0.8*H34,1000-((N34-0.8*N34)*K34+(O34-(N34-N34*0.8))*L34),1000-O34*I34)</f>
        <v>-476</v>
      </c>
      <c r="Q34" s="5">
        <f>IF(E34&gt;H34,J34,K34)</f>
        <v>0.2</v>
      </c>
    </row>
    <row r="35" spans="2:17" x14ac:dyDescent="0.15">
      <c r="B35" s="16" t="s">
        <v>89</v>
      </c>
      <c r="C35" s="31" t="s">
        <v>95</v>
      </c>
      <c r="D35" s="27"/>
      <c r="E35" s="21"/>
      <c r="F35" s="14">
        <f>IF(P35&lt;0,0,IF(E35=0,0,ROUNDDOWN(P35,0)))</f>
        <v>0</v>
      </c>
      <c r="H35" s="5">
        <v>46</v>
      </c>
      <c r="I35" s="5">
        <f>IF(E35&lt;0.8*H35,L35,Q35)</f>
        <v>0.4</v>
      </c>
      <c r="J35" s="5">
        <v>0.1</v>
      </c>
      <c r="K35" s="5">
        <v>0.2</v>
      </c>
      <c r="L35" s="5">
        <v>0.4</v>
      </c>
      <c r="M35">
        <f>E35*100</f>
        <v>0</v>
      </c>
      <c r="N35">
        <f>H35*100</f>
        <v>4600</v>
      </c>
      <c r="O35">
        <f>N35-M35</f>
        <v>4600</v>
      </c>
      <c r="P35" s="6">
        <f>IF(E35&lt;0.8*H35,1000-((N35-0.8*N35)*K35+(O35-(N35-N35*0.8))*L35),1000-O35*I35)</f>
        <v>-656</v>
      </c>
      <c r="Q35" s="5">
        <f>IF(E35&gt;H35,J35,K35)</f>
        <v>0.2</v>
      </c>
    </row>
    <row r="36" spans="2:17" x14ac:dyDescent="0.15">
      <c r="B36" s="16" t="s">
        <v>90</v>
      </c>
      <c r="C36" s="31" t="s">
        <v>101</v>
      </c>
      <c r="D36" s="30"/>
      <c r="E36" s="21"/>
      <c r="F36" s="14">
        <f t="shared" si="8"/>
        <v>0</v>
      </c>
      <c r="H36" s="5">
        <v>80</v>
      </c>
      <c r="I36" s="5">
        <f>IF(E36&lt;0.8*H36,L36,Q36)</f>
        <v>0.3</v>
      </c>
      <c r="J36" s="5">
        <v>0.08</v>
      </c>
      <c r="K36" s="5">
        <v>0.15</v>
      </c>
      <c r="L36" s="5">
        <v>0.3</v>
      </c>
      <c r="M36">
        <f t="shared" si="9"/>
        <v>0</v>
      </c>
      <c r="N36">
        <f t="shared" si="10"/>
        <v>8000</v>
      </c>
      <c r="O36">
        <f t="shared" si="11"/>
        <v>8000</v>
      </c>
      <c r="P36" s="6">
        <f>IF(E36&lt;0.8*H36,1000-((N36-0.8*N36)*K36+(O36-(N36-N36*0.8))*L36),1000-O36*I36)</f>
        <v>-1160</v>
      </c>
      <c r="Q36" s="5">
        <f>IF(E36&gt;H36,J36,K36)</f>
        <v>0.15</v>
      </c>
    </row>
    <row r="38" spans="2:17" x14ac:dyDescent="0.15">
      <c r="B38" s="60" t="s">
        <v>47</v>
      </c>
      <c r="C38" s="60"/>
      <c r="D38" s="60"/>
      <c r="E38" s="60"/>
      <c r="F38" s="60"/>
    </row>
    <row r="39" spans="2:17" x14ac:dyDescent="0.15">
      <c r="B39" s="60" t="s">
        <v>36</v>
      </c>
      <c r="C39" s="60"/>
      <c r="D39" s="60"/>
      <c r="E39" s="60"/>
      <c r="F39" s="60"/>
    </row>
    <row r="40" spans="2:17" x14ac:dyDescent="0.15">
      <c r="B40" s="60" t="s">
        <v>35</v>
      </c>
      <c r="C40" s="60"/>
      <c r="D40" s="60"/>
      <c r="E40" s="60"/>
      <c r="F40" s="60"/>
    </row>
    <row r="42" spans="2:17" ht="16" x14ac:dyDescent="0.2">
      <c r="B42" s="58" t="s">
        <v>146</v>
      </c>
      <c r="C42" s="59"/>
      <c r="D42" s="59"/>
      <c r="E42" s="59"/>
      <c r="F42" s="59"/>
    </row>
  </sheetData>
  <sheetProtection password="CCED" sheet="1" objects="1" scenarios="1" selectLockedCells="1"/>
  <mergeCells count="6">
    <mergeCell ref="D4:E4"/>
    <mergeCell ref="B42:F42"/>
    <mergeCell ref="B4:C4"/>
    <mergeCell ref="B38:F38"/>
    <mergeCell ref="B39:F39"/>
    <mergeCell ref="B40:F40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10"/>
  </sheetPr>
  <dimension ref="A1:Q42"/>
  <sheetViews>
    <sheetView showGridLines="0" showRowColHeaders="0" showOutlineSymbols="0" workbookViewId="0">
      <selection activeCell="E6" sqref="E6"/>
    </sheetView>
  </sheetViews>
  <sheetFormatPr baseColWidth="10" defaultColWidth="8.83203125" defaultRowHeight="13" x14ac:dyDescent="0.15"/>
  <cols>
    <col min="1" max="1" width="11.5" customWidth="1"/>
    <col min="2" max="2" width="16" customWidth="1"/>
    <col min="3" max="3" width="12.6640625" customWidth="1"/>
    <col min="4" max="6" width="11.5" customWidth="1"/>
    <col min="7" max="7" width="5.5" customWidth="1"/>
    <col min="8" max="8" width="9.33203125" hidden="1" customWidth="1"/>
    <col min="9" max="9" width="9.1640625" hidden="1" customWidth="1"/>
    <col min="10" max="10" width="8" hidden="1" customWidth="1"/>
    <col min="11" max="11" width="7.83203125" hidden="1" customWidth="1"/>
    <col min="12" max="12" width="7.33203125" hidden="1" customWidth="1"/>
    <col min="13" max="13" width="6.33203125" hidden="1" customWidth="1"/>
    <col min="14" max="14" width="6.83203125" hidden="1" customWidth="1"/>
    <col min="15" max="15" width="7.1640625" hidden="1" customWidth="1"/>
    <col min="16" max="16" width="12.6640625" hidden="1" customWidth="1"/>
    <col min="17" max="17" width="6.16406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70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61" t="s">
        <v>1</v>
      </c>
      <c r="E4" s="61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9" t="s">
        <v>32</v>
      </c>
      <c r="E5" s="39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5" t="s">
        <v>8</v>
      </c>
      <c r="C6" s="19"/>
      <c r="D6" s="27"/>
      <c r="E6" s="22"/>
      <c r="F6" s="14">
        <f t="shared" ref="F6:F23" si="0">IF(P6&lt;0,0,IF(E6=0,0,ROUNDDOWN(P6,0)))</f>
        <v>0</v>
      </c>
      <c r="H6" s="5">
        <v>8.25</v>
      </c>
      <c r="I6" s="5">
        <v>2.7</v>
      </c>
      <c r="J6" s="5"/>
      <c r="M6">
        <f t="shared" ref="M6:M11" si="1">E6*100</f>
        <v>0</v>
      </c>
      <c r="N6">
        <f t="shared" ref="N6:N11" si="2">H6*100</f>
        <v>825</v>
      </c>
      <c r="O6">
        <f>N6-M6</f>
        <v>825</v>
      </c>
      <c r="P6" s="6">
        <f>1000+O6*I6</f>
        <v>3227.5</v>
      </c>
    </row>
    <row r="7" spans="1:17" x14ac:dyDescent="0.15">
      <c r="B7" s="16" t="s">
        <v>69</v>
      </c>
      <c r="C7" s="19"/>
      <c r="D7" s="27"/>
      <c r="E7" s="21"/>
      <c r="F7" s="14">
        <f t="shared" si="0"/>
        <v>0</v>
      </c>
      <c r="H7" s="5">
        <v>10.65</v>
      </c>
      <c r="I7" s="5">
        <v>2.1</v>
      </c>
      <c r="J7" s="5"/>
      <c r="M7">
        <f t="shared" si="1"/>
        <v>0</v>
      </c>
      <c r="N7">
        <f t="shared" si="2"/>
        <v>1065</v>
      </c>
      <c r="O7">
        <f>N7-M7</f>
        <v>1065</v>
      </c>
      <c r="P7" s="6">
        <f>1000+O7*I7</f>
        <v>3236.5</v>
      </c>
    </row>
    <row r="8" spans="1:17" x14ac:dyDescent="0.15">
      <c r="B8" s="16" t="s">
        <v>13</v>
      </c>
      <c r="C8" s="19"/>
      <c r="D8" s="27"/>
      <c r="E8" s="21"/>
      <c r="F8" s="14">
        <f t="shared" si="0"/>
        <v>0</v>
      </c>
      <c r="H8" s="5">
        <v>13.1</v>
      </c>
      <c r="I8" s="5">
        <v>1.6</v>
      </c>
      <c r="J8" s="5"/>
      <c r="M8">
        <f t="shared" si="1"/>
        <v>0</v>
      </c>
      <c r="N8">
        <f t="shared" si="2"/>
        <v>1310</v>
      </c>
      <c r="O8">
        <f t="shared" ref="O8:O16" si="3">N8-M8</f>
        <v>1310</v>
      </c>
      <c r="P8" s="6">
        <f t="shared" ref="P8:P16" si="4">1000+O8*I8</f>
        <v>3096</v>
      </c>
    </row>
    <row r="9" spans="1:17" x14ac:dyDescent="0.15">
      <c r="B9" s="16" t="s">
        <v>14</v>
      </c>
      <c r="C9" s="19"/>
      <c r="D9" s="27"/>
      <c r="E9" s="21"/>
      <c r="F9" s="14">
        <f t="shared" si="0"/>
        <v>0</v>
      </c>
      <c r="H9" s="5">
        <v>27.1</v>
      </c>
      <c r="I9" s="5">
        <v>0.78</v>
      </c>
      <c r="J9" s="5"/>
      <c r="M9">
        <f t="shared" si="1"/>
        <v>0</v>
      </c>
      <c r="N9">
        <f t="shared" si="2"/>
        <v>2710</v>
      </c>
      <c r="O9">
        <f t="shared" si="3"/>
        <v>2710</v>
      </c>
      <c r="P9" s="6">
        <f t="shared" si="4"/>
        <v>3113.8</v>
      </c>
    </row>
    <row r="10" spans="1:17" x14ac:dyDescent="0.15">
      <c r="B10" s="16" t="s">
        <v>15</v>
      </c>
      <c r="C10" s="19"/>
      <c r="D10" s="27"/>
      <c r="E10" s="21"/>
      <c r="F10" s="14">
        <f t="shared" si="0"/>
        <v>0</v>
      </c>
      <c r="H10" s="5">
        <v>43.4</v>
      </c>
      <c r="I10" s="5">
        <v>0.5</v>
      </c>
      <c r="J10" s="5"/>
      <c r="M10">
        <f t="shared" si="1"/>
        <v>0</v>
      </c>
      <c r="N10">
        <f t="shared" si="2"/>
        <v>4340</v>
      </c>
      <c r="O10">
        <f t="shared" si="3"/>
        <v>4340</v>
      </c>
      <c r="P10" s="6">
        <f t="shared" si="4"/>
        <v>3170</v>
      </c>
    </row>
    <row r="11" spans="1:17" x14ac:dyDescent="0.15">
      <c r="B11" s="16" t="s">
        <v>16</v>
      </c>
      <c r="C11" s="19"/>
      <c r="D11" s="27"/>
      <c r="E11" s="21"/>
      <c r="F11" s="14">
        <f t="shared" si="0"/>
        <v>0</v>
      </c>
      <c r="H11" s="5">
        <v>61.6</v>
      </c>
      <c r="I11" s="5">
        <v>0.38</v>
      </c>
      <c r="J11" s="5"/>
      <c r="M11">
        <f t="shared" si="1"/>
        <v>0</v>
      </c>
      <c r="N11">
        <f t="shared" si="2"/>
        <v>6160</v>
      </c>
      <c r="O11">
        <f>N11-M11</f>
        <v>6160</v>
      </c>
      <c r="P11" s="6">
        <f>1000+O11*I11</f>
        <v>3340.8</v>
      </c>
    </row>
    <row r="12" spans="1:17" x14ac:dyDescent="0.15">
      <c r="B12" s="15" t="s">
        <v>9</v>
      </c>
      <c r="C12" s="19"/>
      <c r="D12" s="24"/>
      <c r="E12" s="22"/>
      <c r="F12" s="14">
        <f t="shared" ref="F12:F20" si="5">IF(P12&lt;0,0,IF(AND(E12=0,D12=0),0,ROUNDDOWN(P12,0)))</f>
        <v>0</v>
      </c>
      <c r="H12" s="5">
        <v>100</v>
      </c>
      <c r="I12" s="5">
        <v>2.4</v>
      </c>
      <c r="J12" s="5"/>
      <c r="M12">
        <f t="shared" ref="M12:M20" si="6">(D12*60+E12)*10</f>
        <v>0</v>
      </c>
      <c r="N12">
        <f t="shared" ref="N12:N20" si="7">H12*10</f>
        <v>1000</v>
      </c>
      <c r="O12">
        <f t="shared" si="3"/>
        <v>1000</v>
      </c>
      <c r="P12" s="6">
        <f t="shared" si="4"/>
        <v>3400</v>
      </c>
    </row>
    <row r="13" spans="1:17" x14ac:dyDescent="0.15">
      <c r="B13" s="15" t="s">
        <v>20</v>
      </c>
      <c r="C13" s="19"/>
      <c r="D13" s="24"/>
      <c r="E13" s="22"/>
      <c r="F13" s="14">
        <f t="shared" si="5"/>
        <v>0</v>
      </c>
      <c r="H13" s="5">
        <v>141</v>
      </c>
      <c r="I13" s="5">
        <v>1.5</v>
      </c>
      <c r="J13" s="5"/>
      <c r="M13">
        <f t="shared" si="6"/>
        <v>0</v>
      </c>
      <c r="N13">
        <f t="shared" si="7"/>
        <v>1410</v>
      </c>
      <c r="O13">
        <f t="shared" si="3"/>
        <v>1410</v>
      </c>
      <c r="P13" s="6">
        <f t="shared" si="4"/>
        <v>3115</v>
      </c>
    </row>
    <row r="14" spans="1:17" x14ac:dyDescent="0.15">
      <c r="B14" s="15" t="s">
        <v>17</v>
      </c>
      <c r="C14" s="19"/>
      <c r="D14" s="24"/>
      <c r="E14" s="22"/>
      <c r="F14" s="14">
        <f t="shared" si="5"/>
        <v>0</v>
      </c>
      <c r="H14" s="5">
        <v>189</v>
      </c>
      <c r="I14" s="5">
        <v>1</v>
      </c>
      <c r="J14" s="5"/>
      <c r="M14">
        <f t="shared" si="6"/>
        <v>0</v>
      </c>
      <c r="N14">
        <f t="shared" si="7"/>
        <v>1890</v>
      </c>
      <c r="O14">
        <f t="shared" si="3"/>
        <v>1890</v>
      </c>
      <c r="P14" s="6">
        <f t="shared" si="4"/>
        <v>2890</v>
      </c>
    </row>
    <row r="15" spans="1:17" x14ac:dyDescent="0.15">
      <c r="B15" s="15" t="s">
        <v>18</v>
      </c>
      <c r="C15" s="19"/>
      <c r="D15" s="24"/>
      <c r="E15" s="22"/>
      <c r="F15" s="14">
        <f t="shared" si="5"/>
        <v>0</v>
      </c>
      <c r="H15" s="5">
        <v>295</v>
      </c>
      <c r="I15" s="5">
        <v>0.6</v>
      </c>
      <c r="J15" s="5"/>
      <c r="M15">
        <f t="shared" si="6"/>
        <v>0</v>
      </c>
      <c r="N15">
        <f t="shared" si="7"/>
        <v>2950</v>
      </c>
      <c r="O15">
        <f t="shared" si="3"/>
        <v>2950</v>
      </c>
      <c r="P15" s="6">
        <f t="shared" si="4"/>
        <v>2770</v>
      </c>
    </row>
    <row r="16" spans="1:17" x14ac:dyDescent="0.15">
      <c r="B16" s="15" t="s">
        <v>19</v>
      </c>
      <c r="C16" s="20"/>
      <c r="D16" s="24"/>
      <c r="E16" s="22"/>
      <c r="F16" s="14">
        <f t="shared" si="5"/>
        <v>0</v>
      </c>
      <c r="H16" s="5">
        <v>418</v>
      </c>
      <c r="I16" s="5">
        <v>0.4</v>
      </c>
      <c r="J16" s="5"/>
      <c r="M16">
        <f t="shared" si="6"/>
        <v>0</v>
      </c>
      <c r="N16">
        <f t="shared" si="7"/>
        <v>4180</v>
      </c>
      <c r="O16">
        <f t="shared" si="3"/>
        <v>4180</v>
      </c>
      <c r="P16" s="6">
        <f t="shared" si="4"/>
        <v>2672</v>
      </c>
    </row>
    <row r="17" spans="2:17" x14ac:dyDescent="0.15">
      <c r="B17" s="16" t="s">
        <v>17</v>
      </c>
      <c r="C17" s="48" t="s">
        <v>137</v>
      </c>
      <c r="D17" s="25"/>
      <c r="E17" s="21"/>
      <c r="F17" s="14">
        <f t="shared" si="5"/>
        <v>0</v>
      </c>
      <c r="H17" s="5">
        <v>280</v>
      </c>
      <c r="I17" s="5">
        <v>0.7</v>
      </c>
      <c r="J17" s="5"/>
      <c r="M17">
        <f t="shared" si="6"/>
        <v>0</v>
      </c>
      <c r="N17">
        <f t="shared" si="7"/>
        <v>2800</v>
      </c>
      <c r="O17">
        <f t="shared" ref="O17:O24" si="8">N17-M17</f>
        <v>2800</v>
      </c>
      <c r="P17" s="6">
        <f t="shared" ref="P17:P24" si="9">1000+O17*I17</f>
        <v>2960</v>
      </c>
    </row>
    <row r="18" spans="2:17" x14ac:dyDescent="0.15">
      <c r="B18" s="16" t="s">
        <v>19</v>
      </c>
      <c r="C18" s="48" t="s">
        <v>137</v>
      </c>
      <c r="D18" s="25"/>
      <c r="E18" s="21"/>
      <c r="F18" s="14">
        <f t="shared" si="5"/>
        <v>0</v>
      </c>
      <c r="H18" s="5">
        <v>620</v>
      </c>
      <c r="I18" s="5">
        <v>0.3</v>
      </c>
      <c r="J18" s="5"/>
      <c r="M18">
        <f t="shared" si="6"/>
        <v>0</v>
      </c>
      <c r="N18">
        <f t="shared" si="7"/>
        <v>6200</v>
      </c>
      <c r="O18">
        <f t="shared" si="8"/>
        <v>6200</v>
      </c>
      <c r="P18" s="6">
        <f t="shared" si="9"/>
        <v>2860</v>
      </c>
    </row>
    <row r="19" spans="2:17" x14ac:dyDescent="0.15">
      <c r="B19" s="16" t="s">
        <v>21</v>
      </c>
      <c r="C19" s="48" t="s">
        <v>137</v>
      </c>
      <c r="D19" s="25"/>
      <c r="E19" s="21"/>
      <c r="F19" s="14">
        <f t="shared" si="5"/>
        <v>0</v>
      </c>
      <c r="H19" s="5">
        <v>962</v>
      </c>
      <c r="I19" s="5">
        <v>0.18</v>
      </c>
      <c r="J19" s="5"/>
      <c r="M19">
        <f t="shared" si="6"/>
        <v>0</v>
      </c>
      <c r="N19">
        <f t="shared" si="7"/>
        <v>9620</v>
      </c>
      <c r="O19">
        <f t="shared" si="8"/>
        <v>9620</v>
      </c>
      <c r="P19" s="6">
        <f t="shared" si="9"/>
        <v>2731.6</v>
      </c>
    </row>
    <row r="20" spans="2:17" x14ac:dyDescent="0.15">
      <c r="B20" s="16" t="s">
        <v>22</v>
      </c>
      <c r="C20" s="48" t="s">
        <v>137</v>
      </c>
      <c r="D20" s="25"/>
      <c r="E20" s="21"/>
      <c r="F20" s="14">
        <f t="shared" si="5"/>
        <v>0</v>
      </c>
      <c r="H20" s="5">
        <v>1660</v>
      </c>
      <c r="I20" s="5">
        <v>0.1</v>
      </c>
      <c r="J20" s="5"/>
      <c r="M20">
        <f t="shared" si="6"/>
        <v>0</v>
      </c>
      <c r="N20">
        <f t="shared" si="7"/>
        <v>16600</v>
      </c>
      <c r="O20">
        <f t="shared" si="8"/>
        <v>16600</v>
      </c>
      <c r="P20" s="6">
        <f t="shared" si="9"/>
        <v>2660</v>
      </c>
    </row>
    <row r="21" spans="2:17" x14ac:dyDescent="0.15">
      <c r="B21" s="16" t="s">
        <v>79</v>
      </c>
      <c r="C21" s="31" t="s">
        <v>106</v>
      </c>
      <c r="D21" s="28"/>
      <c r="E21" s="21"/>
      <c r="F21" s="14">
        <f t="shared" si="0"/>
        <v>0</v>
      </c>
      <c r="H21" s="5">
        <v>9.6999999999999993</v>
      </c>
      <c r="I21" s="5">
        <v>1.9</v>
      </c>
      <c r="J21" s="5"/>
      <c r="M21">
        <f>E21*100</f>
        <v>0</v>
      </c>
      <c r="N21">
        <f>H21*100</f>
        <v>969.99999999999989</v>
      </c>
      <c r="O21">
        <f t="shared" si="8"/>
        <v>969.99999999999989</v>
      </c>
      <c r="P21" s="6">
        <f t="shared" si="9"/>
        <v>2843</v>
      </c>
    </row>
    <row r="22" spans="2:17" x14ac:dyDescent="0.15">
      <c r="B22" s="16" t="s">
        <v>81</v>
      </c>
      <c r="C22" s="31" t="s">
        <v>98</v>
      </c>
      <c r="D22" s="27"/>
      <c r="E22" s="21"/>
      <c r="F22" s="14">
        <f t="shared" si="0"/>
        <v>0</v>
      </c>
      <c r="H22" s="5">
        <v>31.6</v>
      </c>
      <c r="I22" s="5">
        <v>0.5</v>
      </c>
      <c r="J22" s="5"/>
      <c r="M22">
        <f>E22*100</f>
        <v>0</v>
      </c>
      <c r="N22">
        <f>H22*100</f>
        <v>3160</v>
      </c>
      <c r="O22">
        <f t="shared" si="8"/>
        <v>3160</v>
      </c>
      <c r="P22" s="6">
        <f t="shared" si="9"/>
        <v>2580</v>
      </c>
    </row>
    <row r="23" spans="2:17" x14ac:dyDescent="0.15">
      <c r="B23" s="16" t="s">
        <v>102</v>
      </c>
      <c r="C23" s="31" t="s">
        <v>103</v>
      </c>
      <c r="D23" s="30"/>
      <c r="E23" s="21"/>
      <c r="F23" s="14">
        <f t="shared" si="0"/>
        <v>0</v>
      </c>
      <c r="H23" s="5">
        <v>48</v>
      </c>
      <c r="I23" s="5">
        <v>0.4</v>
      </c>
      <c r="J23" s="5"/>
      <c r="M23">
        <f>E23*100</f>
        <v>0</v>
      </c>
      <c r="N23">
        <f>H23*100</f>
        <v>4800</v>
      </c>
      <c r="O23">
        <f t="shared" si="8"/>
        <v>4800</v>
      </c>
      <c r="P23" s="6">
        <f t="shared" si="9"/>
        <v>2920</v>
      </c>
    </row>
    <row r="24" spans="2:17" x14ac:dyDescent="0.15">
      <c r="B24" s="16" t="s">
        <v>24</v>
      </c>
      <c r="C24" s="31" t="s">
        <v>112</v>
      </c>
      <c r="D24" s="23"/>
      <c r="E24" s="22"/>
      <c r="F24" s="14">
        <f>IF(P24&lt;0,0,IF(AND(E24=0,D24=0),0,ROUNDDOWN(P24,0)))</f>
        <v>0</v>
      </c>
      <c r="H24" s="5">
        <v>340</v>
      </c>
      <c r="I24" s="5">
        <v>0.46</v>
      </c>
      <c r="J24" s="5"/>
      <c r="M24">
        <f>(D24*60+E24)*10</f>
        <v>0</v>
      </c>
      <c r="N24">
        <f>H24*10</f>
        <v>3400</v>
      </c>
      <c r="O24">
        <f t="shared" si="8"/>
        <v>3400</v>
      </c>
      <c r="P24" s="6">
        <f t="shared" si="9"/>
        <v>2564</v>
      </c>
    </row>
    <row r="25" spans="2:17" ht="16" x14ac:dyDescent="0.2">
      <c r="B25" s="7"/>
      <c r="C25" s="7"/>
      <c r="D25" s="7"/>
      <c r="E25" s="39" t="s">
        <v>34</v>
      </c>
      <c r="F25" s="4"/>
      <c r="G25" s="4"/>
      <c r="H25" s="8"/>
      <c r="I25" s="8"/>
      <c r="J25" s="8"/>
      <c r="K25" s="4"/>
      <c r="L25" s="4"/>
      <c r="M25" s="4"/>
      <c r="N25" s="4"/>
      <c r="O25" s="4"/>
      <c r="P25" s="4"/>
      <c r="Q25" s="4"/>
    </row>
    <row r="26" spans="2:17" x14ac:dyDescent="0.15">
      <c r="B26" s="16" t="s">
        <v>10</v>
      </c>
      <c r="C26" s="18"/>
      <c r="D26" s="26"/>
      <c r="E26" s="21"/>
      <c r="F26" s="14">
        <f t="shared" ref="F26:F36" si="10">IF(P26&lt;0,0,IF(E26=0,0,ROUNDDOWN(P26,0)))</f>
        <v>0</v>
      </c>
      <c r="H26" s="5">
        <v>1.58</v>
      </c>
      <c r="I26" s="5">
        <v>7.5</v>
      </c>
      <c r="J26" s="5"/>
      <c r="M26">
        <f t="shared" ref="M26:M34" si="11">E26*100</f>
        <v>0</v>
      </c>
      <c r="N26">
        <f t="shared" ref="N26:N34" si="12">H26*100</f>
        <v>158</v>
      </c>
      <c r="O26">
        <f t="shared" ref="O26:O34" si="13">N26-M26</f>
        <v>158</v>
      </c>
      <c r="P26" s="6">
        <f t="shared" ref="P26:P31" si="14">1000-O26*I26</f>
        <v>-185</v>
      </c>
    </row>
    <row r="27" spans="2:17" x14ac:dyDescent="0.15">
      <c r="B27" s="16" t="s">
        <v>27</v>
      </c>
      <c r="C27" s="19"/>
      <c r="D27" s="27"/>
      <c r="E27" s="21"/>
      <c r="F27" s="14">
        <f t="shared" si="10"/>
        <v>0</v>
      </c>
      <c r="H27" s="5">
        <v>1.3</v>
      </c>
      <c r="I27" s="5">
        <v>9.5</v>
      </c>
      <c r="J27" s="5"/>
      <c r="M27">
        <f t="shared" si="11"/>
        <v>0</v>
      </c>
      <c r="N27">
        <f t="shared" si="12"/>
        <v>130</v>
      </c>
      <c r="O27">
        <f t="shared" si="13"/>
        <v>130</v>
      </c>
      <c r="P27" s="6">
        <f t="shared" si="14"/>
        <v>-235</v>
      </c>
    </row>
    <row r="28" spans="2:17" x14ac:dyDescent="0.15">
      <c r="B28" s="16" t="s">
        <v>28</v>
      </c>
      <c r="C28" s="19"/>
      <c r="D28" s="27"/>
      <c r="E28" s="21"/>
      <c r="F28" s="14">
        <f t="shared" si="10"/>
        <v>0</v>
      </c>
      <c r="H28" s="5">
        <v>2.8</v>
      </c>
      <c r="I28" s="5">
        <f>IF(E28&lt;0.8*H28,L28,Q28)</f>
        <v>8</v>
      </c>
      <c r="J28" s="5">
        <v>2</v>
      </c>
      <c r="K28" s="5">
        <v>4</v>
      </c>
      <c r="L28" s="5">
        <v>8</v>
      </c>
      <c r="M28">
        <f t="shared" si="11"/>
        <v>0</v>
      </c>
      <c r="N28">
        <f t="shared" si="12"/>
        <v>280</v>
      </c>
      <c r="O28">
        <f t="shared" si="13"/>
        <v>280</v>
      </c>
      <c r="P28" s="6">
        <f>IF(E28&lt;0.8*H28,1000-((N28-0.8*N28)*K28+(O28-(N28-N28*0.8))*L28),1000-O28*I28)</f>
        <v>-1016</v>
      </c>
      <c r="Q28" s="5">
        <f>IF(E28&gt;H28,J28,K28)</f>
        <v>4</v>
      </c>
    </row>
    <row r="29" spans="2:17" x14ac:dyDescent="0.15">
      <c r="B29" s="16" t="s">
        <v>11</v>
      </c>
      <c r="C29" s="19"/>
      <c r="D29" s="27"/>
      <c r="E29" s="21"/>
      <c r="F29" s="14">
        <f t="shared" si="10"/>
        <v>0</v>
      </c>
      <c r="H29" s="5">
        <v>5.25</v>
      </c>
      <c r="I29" s="5">
        <v>2.1</v>
      </c>
      <c r="J29" s="5"/>
      <c r="M29">
        <f t="shared" si="11"/>
        <v>0</v>
      </c>
      <c r="N29">
        <f t="shared" si="12"/>
        <v>525</v>
      </c>
      <c r="O29">
        <f t="shared" si="13"/>
        <v>525</v>
      </c>
      <c r="P29" s="6">
        <f t="shared" si="14"/>
        <v>-102.5</v>
      </c>
    </row>
    <row r="30" spans="2:17" x14ac:dyDescent="0.15">
      <c r="B30" s="16" t="s">
        <v>29</v>
      </c>
      <c r="C30" s="19"/>
      <c r="D30" s="27"/>
      <c r="E30" s="21"/>
      <c r="F30" s="14">
        <f t="shared" si="10"/>
        <v>0</v>
      </c>
      <c r="H30" s="5">
        <v>2.48</v>
      </c>
      <c r="I30" s="5">
        <v>6</v>
      </c>
      <c r="J30" s="5"/>
      <c r="M30">
        <f t="shared" si="11"/>
        <v>0</v>
      </c>
      <c r="N30">
        <f t="shared" si="12"/>
        <v>248</v>
      </c>
      <c r="O30">
        <f t="shared" si="13"/>
        <v>248</v>
      </c>
      <c r="P30" s="6">
        <f t="shared" si="14"/>
        <v>-488</v>
      </c>
    </row>
    <row r="31" spans="2:17" x14ac:dyDescent="0.15">
      <c r="B31" s="16" t="s">
        <v>30</v>
      </c>
      <c r="C31" s="20"/>
      <c r="D31" s="27"/>
      <c r="E31" s="21"/>
      <c r="F31" s="14">
        <f t="shared" si="10"/>
        <v>0</v>
      </c>
      <c r="H31" s="5">
        <v>10.8</v>
      </c>
      <c r="I31" s="5">
        <v>1</v>
      </c>
      <c r="J31" s="5"/>
      <c r="M31">
        <f t="shared" si="11"/>
        <v>0</v>
      </c>
      <c r="N31">
        <f t="shared" si="12"/>
        <v>1080</v>
      </c>
      <c r="O31">
        <f t="shared" si="13"/>
        <v>1080</v>
      </c>
      <c r="P31" s="6">
        <f t="shared" si="14"/>
        <v>-80</v>
      </c>
    </row>
    <row r="32" spans="2:17" x14ac:dyDescent="0.15">
      <c r="B32" s="16" t="s">
        <v>86</v>
      </c>
      <c r="C32" s="31" t="s">
        <v>99</v>
      </c>
      <c r="D32" s="27"/>
      <c r="E32" s="21"/>
      <c r="F32" s="14">
        <f t="shared" si="10"/>
        <v>0</v>
      </c>
      <c r="H32" s="5">
        <v>10.8</v>
      </c>
      <c r="I32" s="5">
        <f>IF(E32&lt;0.8*H32,L32,Q32)</f>
        <v>1.2</v>
      </c>
      <c r="J32" s="5">
        <v>0.3</v>
      </c>
      <c r="K32" s="5">
        <v>0.6</v>
      </c>
      <c r="L32" s="5">
        <v>1.2</v>
      </c>
      <c r="M32">
        <f t="shared" si="11"/>
        <v>0</v>
      </c>
      <c r="N32">
        <f t="shared" si="12"/>
        <v>1080</v>
      </c>
      <c r="O32">
        <f t="shared" si="13"/>
        <v>1080</v>
      </c>
      <c r="P32" s="6">
        <f>IF(E32&lt;0.8*H32,1000-((N32-0.8*N32)*K32+(O32-(N32-N32*0.8))*L32),1000-O32*I32)</f>
        <v>-166.39999999999986</v>
      </c>
      <c r="Q32" s="5">
        <f>IF(E32&gt;H32,J32,K32)</f>
        <v>0.6</v>
      </c>
    </row>
    <row r="33" spans="2:17" x14ac:dyDescent="0.15">
      <c r="B33" s="16" t="s">
        <v>87</v>
      </c>
      <c r="C33" s="31" t="s">
        <v>100</v>
      </c>
      <c r="D33" s="27"/>
      <c r="E33" s="21"/>
      <c r="F33" s="14">
        <f t="shared" si="10"/>
        <v>0</v>
      </c>
      <c r="H33" s="5">
        <v>38</v>
      </c>
      <c r="I33" s="5">
        <f>IF(E33&lt;0.8*H33,L33,Q33)</f>
        <v>0.6</v>
      </c>
      <c r="J33" s="5">
        <v>0.15</v>
      </c>
      <c r="K33" s="5">
        <v>0.3</v>
      </c>
      <c r="L33" s="5">
        <v>0.6</v>
      </c>
      <c r="M33">
        <f t="shared" si="11"/>
        <v>0</v>
      </c>
      <c r="N33">
        <f t="shared" si="12"/>
        <v>3800</v>
      </c>
      <c r="O33">
        <f t="shared" si="13"/>
        <v>3800</v>
      </c>
      <c r="P33" s="6">
        <f>IF(E33&lt;0.8*H33,1000-((N33-0.8*N33)*K33+(O33-(N33-N33*0.8))*L33),1000-O33*I33)</f>
        <v>-1052</v>
      </c>
      <c r="Q33" s="5">
        <f>IF(E33&gt;H33,J33,K33)</f>
        <v>0.3</v>
      </c>
    </row>
    <row r="34" spans="2:17" x14ac:dyDescent="0.15">
      <c r="B34" s="16" t="s">
        <v>88</v>
      </c>
      <c r="C34" s="31" t="s">
        <v>143</v>
      </c>
      <c r="D34" s="27"/>
      <c r="E34" s="21"/>
      <c r="F34" s="14">
        <f t="shared" si="10"/>
        <v>0</v>
      </c>
      <c r="H34" s="5">
        <v>34</v>
      </c>
      <c r="I34" s="5">
        <f>IF(E34&lt;0.8*H34,L34,Q34)</f>
        <v>0.5</v>
      </c>
      <c r="J34" s="5">
        <v>0.12</v>
      </c>
      <c r="K34" s="5">
        <v>0.25</v>
      </c>
      <c r="L34" s="5">
        <v>0.5</v>
      </c>
      <c r="M34">
        <f t="shared" si="11"/>
        <v>0</v>
      </c>
      <c r="N34">
        <f t="shared" si="12"/>
        <v>3400</v>
      </c>
      <c r="O34">
        <f t="shared" si="13"/>
        <v>3400</v>
      </c>
      <c r="P34" s="6">
        <f>IF(E34&lt;0.8*H34,1000-((N34-0.8*N34)*K34+(O34-(N34-N34*0.8))*L34),1000-O34*I34)</f>
        <v>-530</v>
      </c>
      <c r="Q34" s="5">
        <f>IF(E34&gt;H34,J34,K34)</f>
        <v>0.25</v>
      </c>
    </row>
    <row r="35" spans="2:17" x14ac:dyDescent="0.15">
      <c r="B35" s="16" t="s">
        <v>89</v>
      </c>
      <c r="C35" s="31" t="s">
        <v>96</v>
      </c>
      <c r="D35" s="27"/>
      <c r="E35" s="21"/>
      <c r="F35" s="14">
        <f t="shared" si="10"/>
        <v>0</v>
      </c>
      <c r="H35" s="5">
        <v>39</v>
      </c>
      <c r="I35" s="5">
        <f>IF(E35&lt;0.8*H35,L35,Q35)</f>
        <v>0.5</v>
      </c>
      <c r="J35" s="5">
        <v>0.13</v>
      </c>
      <c r="K35" s="5">
        <v>0.25</v>
      </c>
      <c r="L35" s="5">
        <v>0.5</v>
      </c>
      <c r="M35">
        <f>E35*100</f>
        <v>0</v>
      </c>
      <c r="N35">
        <f>H35*100</f>
        <v>3900</v>
      </c>
      <c r="O35">
        <f>N35-M35</f>
        <v>3900</v>
      </c>
      <c r="P35" s="6">
        <f>IF(E35&lt;0.8*H35,1000-((N35-0.8*N35)*K35+(O35-(N35-N35*0.8))*L35),1000-O35*I35)</f>
        <v>-755</v>
      </c>
      <c r="Q35" s="5">
        <f>IF(E35&gt;H35,J35,K35)</f>
        <v>0.25</v>
      </c>
    </row>
    <row r="36" spans="2:17" x14ac:dyDescent="0.15">
      <c r="B36" s="16" t="s">
        <v>90</v>
      </c>
      <c r="C36" s="31" t="s">
        <v>101</v>
      </c>
      <c r="D36" s="27"/>
      <c r="E36" s="21"/>
      <c r="F36" s="14">
        <f t="shared" si="10"/>
        <v>0</v>
      </c>
      <c r="H36" s="5">
        <v>62</v>
      </c>
      <c r="I36" s="5">
        <f>IF(E36&lt;0.8*H36,L36,Q36)</f>
        <v>0.4</v>
      </c>
      <c r="J36" s="5">
        <v>0.1</v>
      </c>
      <c r="K36" s="5">
        <v>0.2</v>
      </c>
      <c r="L36" s="5">
        <v>0.4</v>
      </c>
      <c r="M36">
        <f>E36*100</f>
        <v>0</v>
      </c>
      <c r="N36">
        <f>H36*100</f>
        <v>6200</v>
      </c>
      <c r="O36">
        <f>N36-M36</f>
        <v>6200</v>
      </c>
      <c r="P36" s="6">
        <f>IF(E36&lt;0.8*H36,1000-((N36-0.8*N36)*K36+(O36-(N36-N36*0.8))*L36),1000-O36*I36)</f>
        <v>-1232</v>
      </c>
      <c r="Q36" s="5">
        <f>IF(E36&gt;H36,J36,K36)</f>
        <v>0.2</v>
      </c>
    </row>
    <row r="38" spans="2:17" x14ac:dyDescent="0.15">
      <c r="B38" s="60" t="s">
        <v>47</v>
      </c>
      <c r="C38" s="60"/>
      <c r="D38" s="60"/>
      <c r="E38" s="60"/>
      <c r="F38" s="60"/>
    </row>
    <row r="39" spans="2:17" x14ac:dyDescent="0.15">
      <c r="B39" s="60" t="s">
        <v>36</v>
      </c>
      <c r="C39" s="60"/>
      <c r="D39" s="60"/>
      <c r="E39" s="60"/>
      <c r="F39" s="60"/>
    </row>
    <row r="40" spans="2:17" x14ac:dyDescent="0.15">
      <c r="B40" s="60" t="s">
        <v>35</v>
      </c>
      <c r="C40" s="60"/>
      <c r="D40" s="60"/>
      <c r="E40" s="60"/>
      <c r="F40" s="60"/>
    </row>
    <row r="42" spans="2:17" ht="16" x14ac:dyDescent="0.2">
      <c r="B42" s="58" t="s">
        <v>146</v>
      </c>
      <c r="C42" s="59"/>
      <c r="D42" s="59"/>
      <c r="E42" s="59"/>
      <c r="F42" s="59"/>
    </row>
  </sheetData>
  <sheetProtection password="CCED" sheet="1" objects="1" scenarios="1" selectLockedCells="1"/>
  <mergeCells count="6">
    <mergeCell ref="D4:E4"/>
    <mergeCell ref="B42:F42"/>
    <mergeCell ref="B4:C4"/>
    <mergeCell ref="B38:F38"/>
    <mergeCell ref="B39:F39"/>
    <mergeCell ref="B40:F40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12"/>
  </sheetPr>
  <dimension ref="A1:Q35"/>
  <sheetViews>
    <sheetView showGridLines="0" showRowColHeaders="0" showOutlineSymbols="0" workbookViewId="0">
      <selection activeCell="E6" sqref="E6"/>
    </sheetView>
  </sheetViews>
  <sheetFormatPr baseColWidth="10" defaultColWidth="8.83203125" defaultRowHeight="13" x14ac:dyDescent="0.15"/>
  <cols>
    <col min="1" max="1" width="11.5" customWidth="1"/>
    <col min="2" max="2" width="15.6640625" customWidth="1"/>
    <col min="3" max="3" width="14.1640625" customWidth="1"/>
    <col min="4" max="6" width="11.5" customWidth="1"/>
    <col min="7" max="7" width="5" customWidth="1"/>
    <col min="8" max="8" width="9.33203125" hidden="1" customWidth="1"/>
    <col min="9" max="9" width="8.6640625" hidden="1" customWidth="1"/>
    <col min="10" max="11" width="8" hidden="1" customWidth="1"/>
    <col min="12" max="12" width="8.33203125" hidden="1" customWidth="1"/>
    <col min="13" max="13" width="4.6640625" hidden="1" customWidth="1"/>
    <col min="14" max="14" width="5.6640625" hidden="1" customWidth="1"/>
    <col min="15" max="15" width="5.5" hidden="1" customWidth="1"/>
    <col min="16" max="16" width="13.33203125" hidden="1" customWidth="1"/>
    <col min="17" max="17" width="7.332031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71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56" t="s">
        <v>1</v>
      </c>
      <c r="E4" s="57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7" t="s">
        <v>32</v>
      </c>
      <c r="E5" s="38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6" t="s">
        <v>8</v>
      </c>
      <c r="C6" s="18"/>
      <c r="D6" s="26"/>
      <c r="E6" s="21"/>
      <c r="F6" s="14">
        <f t="shared" ref="F6:F17" si="0">IF(P6&lt;0,0,IF(E6=0,0,ROUNDDOWN(P6,0)))</f>
        <v>0</v>
      </c>
      <c r="H6" s="5">
        <v>8</v>
      </c>
      <c r="I6" s="5">
        <v>2.7</v>
      </c>
      <c r="J6" s="5"/>
      <c r="M6">
        <f>E6*100</f>
        <v>0</v>
      </c>
      <c r="N6">
        <f>H6*100</f>
        <v>800</v>
      </c>
      <c r="O6">
        <f t="shared" ref="O6:O17" si="1">N6-M6</f>
        <v>800</v>
      </c>
      <c r="P6" s="6">
        <f t="shared" ref="P6:P17" si="2">1000+O6*I6</f>
        <v>3160</v>
      </c>
    </row>
    <row r="7" spans="1:17" x14ac:dyDescent="0.15">
      <c r="B7" s="16" t="s">
        <v>69</v>
      </c>
      <c r="C7" s="19"/>
      <c r="D7" s="27"/>
      <c r="E7" s="21"/>
      <c r="F7" s="14">
        <f t="shared" si="0"/>
        <v>0</v>
      </c>
      <c r="H7" s="5">
        <v>10.4</v>
      </c>
      <c r="I7" s="5">
        <v>2.2000000000000002</v>
      </c>
      <c r="J7" s="5"/>
      <c r="M7">
        <f>E7*100</f>
        <v>0</v>
      </c>
      <c r="N7">
        <f>H7*100</f>
        <v>1040</v>
      </c>
      <c r="O7">
        <f t="shared" si="1"/>
        <v>1040</v>
      </c>
      <c r="P7" s="6">
        <f t="shared" si="2"/>
        <v>3288</v>
      </c>
    </row>
    <row r="8" spans="1:17" x14ac:dyDescent="0.15">
      <c r="B8" s="16" t="s">
        <v>13</v>
      </c>
      <c r="C8" s="19"/>
      <c r="D8" s="27"/>
      <c r="E8" s="21"/>
      <c r="F8" s="14">
        <f t="shared" si="0"/>
        <v>0</v>
      </c>
      <c r="H8" s="5">
        <v>12.8</v>
      </c>
      <c r="I8" s="5">
        <v>1.7</v>
      </c>
      <c r="J8" s="5"/>
      <c r="M8">
        <f>E8*100</f>
        <v>0</v>
      </c>
      <c r="N8">
        <f>H8*100</f>
        <v>1280</v>
      </c>
      <c r="O8">
        <f t="shared" si="1"/>
        <v>1280</v>
      </c>
      <c r="P8" s="6">
        <f t="shared" si="2"/>
        <v>3176</v>
      </c>
    </row>
    <row r="9" spans="1:17" x14ac:dyDescent="0.15">
      <c r="B9" s="16" t="s">
        <v>14</v>
      </c>
      <c r="C9" s="19"/>
      <c r="D9" s="27"/>
      <c r="E9" s="21"/>
      <c r="F9" s="14">
        <f t="shared" si="0"/>
        <v>0</v>
      </c>
      <c r="H9" s="5">
        <v>26</v>
      </c>
      <c r="I9" s="5">
        <v>0.85</v>
      </c>
      <c r="J9" s="5"/>
      <c r="M9">
        <f>E9*100</f>
        <v>0</v>
      </c>
      <c r="N9">
        <f>H9*100</f>
        <v>2600</v>
      </c>
      <c r="O9">
        <f t="shared" si="1"/>
        <v>2600</v>
      </c>
      <c r="P9" s="6">
        <f t="shared" si="2"/>
        <v>3210</v>
      </c>
    </row>
    <row r="10" spans="1:17" x14ac:dyDescent="0.15">
      <c r="B10" s="16" t="s">
        <v>15</v>
      </c>
      <c r="C10" s="19"/>
      <c r="D10" s="30"/>
      <c r="E10" s="21"/>
      <c r="F10" s="14">
        <f t="shared" si="0"/>
        <v>0</v>
      </c>
      <c r="H10" s="5">
        <v>42</v>
      </c>
      <c r="I10" s="5">
        <v>0.6</v>
      </c>
      <c r="J10" s="5"/>
      <c r="M10">
        <f>E10*100</f>
        <v>0</v>
      </c>
      <c r="N10">
        <f>H10*100</f>
        <v>4200</v>
      </c>
      <c r="O10">
        <f>N10-M10</f>
        <v>4200</v>
      </c>
      <c r="P10" s="6">
        <f>1000+O10*I10</f>
        <v>3520</v>
      </c>
    </row>
    <row r="11" spans="1:17" x14ac:dyDescent="0.15">
      <c r="B11" s="15" t="s">
        <v>9</v>
      </c>
      <c r="C11" s="19"/>
      <c r="D11" s="23"/>
      <c r="E11" s="22"/>
      <c r="F11" s="14">
        <f>IF(P11&lt;0,0,IF(AND(E11=0,D11=0),0,ROUNDDOWN(P11,0)))</f>
        <v>0</v>
      </c>
      <c r="H11" s="5">
        <v>94.5</v>
      </c>
      <c r="I11" s="5">
        <v>2.6</v>
      </c>
      <c r="J11" s="5"/>
      <c r="M11">
        <f>(D11*60+E11)*10</f>
        <v>0</v>
      </c>
      <c r="N11">
        <f>H11*10</f>
        <v>945</v>
      </c>
      <c r="O11">
        <f t="shared" si="1"/>
        <v>945</v>
      </c>
      <c r="P11" s="6">
        <f t="shared" si="2"/>
        <v>3457</v>
      </c>
    </row>
    <row r="12" spans="1:17" x14ac:dyDescent="0.15">
      <c r="B12" s="15" t="s">
        <v>18</v>
      </c>
      <c r="C12" s="20"/>
      <c r="D12" s="24"/>
      <c r="E12" s="22"/>
      <c r="F12" s="14">
        <f>IF(P12&lt;0,0,IF(AND(E12=0,D12=0),0,ROUNDDOWN(P12,0)))</f>
        <v>0</v>
      </c>
      <c r="H12" s="5">
        <v>278</v>
      </c>
      <c r="I12" s="5">
        <v>0.7</v>
      </c>
      <c r="J12" s="5"/>
      <c r="M12">
        <f>(D12*60+E12)*10</f>
        <v>0</v>
      </c>
      <c r="N12">
        <f>H12*10</f>
        <v>2780</v>
      </c>
      <c r="O12">
        <f t="shared" si="1"/>
        <v>2780</v>
      </c>
      <c r="P12" s="6">
        <f t="shared" si="2"/>
        <v>2946</v>
      </c>
    </row>
    <row r="13" spans="1:17" x14ac:dyDescent="0.15">
      <c r="B13" s="16" t="s">
        <v>17</v>
      </c>
      <c r="C13" s="48" t="s">
        <v>137</v>
      </c>
      <c r="D13" s="24"/>
      <c r="E13" s="21"/>
      <c r="F13" s="14">
        <f>IF(P13&lt;0,0,IF(AND(E13=0,D13=0),0,ROUNDDOWN(P13,0)))</f>
        <v>0</v>
      </c>
      <c r="H13" s="5">
        <v>282</v>
      </c>
      <c r="I13" s="5">
        <v>0.7</v>
      </c>
      <c r="J13" s="5"/>
      <c r="M13">
        <f>(D13*60+E13)*10</f>
        <v>0</v>
      </c>
      <c r="N13">
        <f>H13*10</f>
        <v>2820</v>
      </c>
      <c r="O13">
        <f>N13-M13</f>
        <v>2820</v>
      </c>
      <c r="P13" s="6">
        <f>1000+O13*I13</f>
        <v>2974</v>
      </c>
    </row>
    <row r="14" spans="1:17" x14ac:dyDescent="0.15">
      <c r="B14" s="16" t="s">
        <v>19</v>
      </c>
      <c r="C14" s="48" t="s">
        <v>137</v>
      </c>
      <c r="D14" s="25"/>
      <c r="E14" s="21"/>
      <c r="F14" s="14">
        <f>IF(P14&lt;0,0,IF(AND(E14=0,D14=0),0,ROUNDDOWN(P14,0)))</f>
        <v>0</v>
      </c>
      <c r="H14" s="5">
        <v>594</v>
      </c>
      <c r="I14" s="5">
        <v>0.3</v>
      </c>
      <c r="J14" s="5"/>
      <c r="M14">
        <f>(D14*60+E14)*10</f>
        <v>0</v>
      </c>
      <c r="N14">
        <f>H14*10</f>
        <v>5940</v>
      </c>
      <c r="O14">
        <f>N14-M14</f>
        <v>5940</v>
      </c>
      <c r="P14" s="6">
        <f>1000+O14*I14</f>
        <v>2782</v>
      </c>
    </row>
    <row r="15" spans="1:17" x14ac:dyDescent="0.15">
      <c r="B15" s="16" t="s">
        <v>21</v>
      </c>
      <c r="C15" s="48" t="s">
        <v>137</v>
      </c>
      <c r="D15" s="25"/>
      <c r="E15" s="21"/>
      <c r="F15" s="14">
        <f>IF(P15&lt;0,0,IF(AND(E15=0,D15=0),0,ROUNDDOWN(P15,0)))</f>
        <v>0</v>
      </c>
      <c r="H15" s="5">
        <v>924</v>
      </c>
      <c r="I15" s="5">
        <v>0.18</v>
      </c>
      <c r="J15" s="5"/>
      <c r="M15">
        <f>(D15*60+E15)*10</f>
        <v>0</v>
      </c>
      <c r="N15">
        <f>H15*10</f>
        <v>9240</v>
      </c>
      <c r="O15">
        <f>N15-M15</f>
        <v>9240</v>
      </c>
      <c r="P15" s="6">
        <f>1000+O15*I15</f>
        <v>2663.2</v>
      </c>
    </row>
    <row r="16" spans="1:17" x14ac:dyDescent="0.15">
      <c r="B16" s="16" t="s">
        <v>79</v>
      </c>
      <c r="C16" s="31" t="s">
        <v>106</v>
      </c>
      <c r="D16" s="28"/>
      <c r="E16" s="21"/>
      <c r="F16" s="14">
        <f t="shared" si="0"/>
        <v>0</v>
      </c>
      <c r="H16" s="5">
        <v>9.8000000000000007</v>
      </c>
      <c r="I16" s="5">
        <v>2</v>
      </c>
      <c r="J16" s="5"/>
      <c r="M16">
        <f>E16*100</f>
        <v>0</v>
      </c>
      <c r="N16">
        <f>H16*100</f>
        <v>980.00000000000011</v>
      </c>
      <c r="O16">
        <f t="shared" si="1"/>
        <v>980.00000000000011</v>
      </c>
      <c r="P16" s="6">
        <f t="shared" si="2"/>
        <v>2960</v>
      </c>
    </row>
    <row r="17" spans="2:17" x14ac:dyDescent="0.15">
      <c r="B17" s="16" t="s">
        <v>81</v>
      </c>
      <c r="C17" s="31" t="s">
        <v>93</v>
      </c>
      <c r="D17" s="30"/>
      <c r="E17" s="21"/>
      <c r="F17" s="14">
        <f t="shared" si="0"/>
        <v>0</v>
      </c>
      <c r="H17" s="5">
        <v>31.2</v>
      </c>
      <c r="I17" s="5">
        <v>0.6</v>
      </c>
      <c r="J17" s="5"/>
      <c r="M17">
        <f>E17*100</f>
        <v>0</v>
      </c>
      <c r="N17">
        <f>H17*100</f>
        <v>3120</v>
      </c>
      <c r="O17">
        <f t="shared" si="1"/>
        <v>3120</v>
      </c>
      <c r="P17" s="6">
        <f t="shared" si="2"/>
        <v>2872</v>
      </c>
    </row>
    <row r="18" spans="2:17" ht="16" x14ac:dyDescent="0.2">
      <c r="B18" s="7"/>
      <c r="C18" s="7"/>
      <c r="D18" s="7"/>
      <c r="E18" s="35" t="s">
        <v>34</v>
      </c>
      <c r="F18" s="4"/>
      <c r="G18" s="4"/>
      <c r="H18" s="8"/>
      <c r="I18" s="8"/>
      <c r="J18" s="8"/>
      <c r="K18" s="4"/>
      <c r="L18" s="4"/>
      <c r="M18" s="4"/>
      <c r="N18" s="4"/>
      <c r="O18" s="4"/>
      <c r="P18" s="4"/>
      <c r="Q18" s="4"/>
    </row>
    <row r="19" spans="2:17" x14ac:dyDescent="0.15">
      <c r="B19" s="16" t="s">
        <v>10</v>
      </c>
      <c r="C19" s="18"/>
      <c r="D19" s="26"/>
      <c r="E19" s="21"/>
      <c r="F19" s="14">
        <f t="shared" ref="F19:F29" si="3">IF(P19&lt;0,0,IF(E19=0,0,ROUNDDOWN(P19,0)))</f>
        <v>0</v>
      </c>
      <c r="H19" s="5">
        <v>1.61</v>
      </c>
      <c r="I19" s="5">
        <v>7</v>
      </c>
      <c r="J19" s="5"/>
      <c r="M19">
        <f t="shared" ref="M19:M28" si="4">E19*100</f>
        <v>0</v>
      </c>
      <c r="N19">
        <f t="shared" ref="N19:N28" si="5">H19*100</f>
        <v>161</v>
      </c>
      <c r="O19">
        <f t="shared" ref="O19:O28" si="6">N19-M19</f>
        <v>161</v>
      </c>
      <c r="P19" s="6">
        <f t="shared" ref="P19:P24" si="7">1000-O19*I19</f>
        <v>-127</v>
      </c>
    </row>
    <row r="20" spans="2:17" x14ac:dyDescent="0.15">
      <c r="B20" s="16" t="s">
        <v>27</v>
      </c>
      <c r="C20" s="19"/>
      <c r="D20" s="27"/>
      <c r="E20" s="21"/>
      <c r="F20" s="14">
        <f t="shared" si="3"/>
        <v>0</v>
      </c>
      <c r="H20" s="5">
        <v>1.29</v>
      </c>
      <c r="I20" s="5">
        <v>8.5</v>
      </c>
      <c r="J20" s="5"/>
      <c r="M20">
        <f t="shared" si="4"/>
        <v>0</v>
      </c>
      <c r="N20">
        <f t="shared" si="5"/>
        <v>129</v>
      </c>
      <c r="O20">
        <f t="shared" si="6"/>
        <v>129</v>
      </c>
      <c r="P20" s="6">
        <f t="shared" si="7"/>
        <v>-96.5</v>
      </c>
    </row>
    <row r="21" spans="2:17" x14ac:dyDescent="0.15">
      <c r="B21" s="16" t="s">
        <v>28</v>
      </c>
      <c r="C21" s="19"/>
      <c r="D21" s="27"/>
      <c r="E21" s="21"/>
      <c r="F21" s="14">
        <f t="shared" si="3"/>
        <v>0</v>
      </c>
      <c r="H21" s="5">
        <v>2.9</v>
      </c>
      <c r="I21" s="5">
        <f>IF(E21&lt;0.8*H21,L21,Q21)</f>
        <v>7</v>
      </c>
      <c r="J21" s="5">
        <v>1.7</v>
      </c>
      <c r="K21" s="5">
        <v>3.5</v>
      </c>
      <c r="L21" s="5">
        <v>7</v>
      </c>
      <c r="M21">
        <f t="shared" si="4"/>
        <v>0</v>
      </c>
      <c r="N21">
        <f t="shared" si="5"/>
        <v>290</v>
      </c>
      <c r="O21">
        <f t="shared" si="6"/>
        <v>290</v>
      </c>
      <c r="P21" s="6">
        <f>IF(E21&lt;0.8*H21,1000-((N21-0.8*N21)*K21+(O21-(N21-N21*0.8))*L21),1000-O21*I21)</f>
        <v>-827</v>
      </c>
      <c r="Q21" s="5">
        <f>IF(E21&gt;H21,J21,K21)</f>
        <v>3.5</v>
      </c>
    </row>
    <row r="22" spans="2:17" x14ac:dyDescent="0.15">
      <c r="B22" s="16" t="s">
        <v>11</v>
      </c>
      <c r="C22" s="19"/>
      <c r="D22" s="27"/>
      <c r="E22" s="21"/>
      <c r="F22" s="14">
        <f t="shared" si="3"/>
        <v>0</v>
      </c>
      <c r="H22" s="5">
        <v>5.35</v>
      </c>
      <c r="I22" s="5">
        <v>2</v>
      </c>
      <c r="J22" s="5"/>
      <c r="M22">
        <f t="shared" si="4"/>
        <v>0</v>
      </c>
      <c r="N22">
        <f t="shared" si="5"/>
        <v>535</v>
      </c>
      <c r="O22">
        <f t="shared" si="6"/>
        <v>535</v>
      </c>
      <c r="P22" s="6">
        <f t="shared" si="7"/>
        <v>-70</v>
      </c>
    </row>
    <row r="23" spans="2:17" x14ac:dyDescent="0.15">
      <c r="B23" s="16" t="s">
        <v>29</v>
      </c>
      <c r="C23" s="19"/>
      <c r="D23" s="27"/>
      <c r="E23" s="21"/>
      <c r="F23" s="14">
        <f t="shared" si="3"/>
        <v>0</v>
      </c>
      <c r="H23" s="5">
        <v>2.6</v>
      </c>
      <c r="I23" s="5">
        <v>5</v>
      </c>
      <c r="J23" s="5"/>
      <c r="M23">
        <f t="shared" si="4"/>
        <v>0</v>
      </c>
      <c r="N23">
        <f t="shared" si="5"/>
        <v>260</v>
      </c>
      <c r="O23">
        <f t="shared" si="6"/>
        <v>260</v>
      </c>
      <c r="P23" s="6">
        <f t="shared" si="7"/>
        <v>-300</v>
      </c>
    </row>
    <row r="24" spans="2:17" x14ac:dyDescent="0.15">
      <c r="B24" s="16" t="s">
        <v>30</v>
      </c>
      <c r="C24" s="20"/>
      <c r="D24" s="27"/>
      <c r="E24" s="21"/>
      <c r="F24" s="14">
        <f t="shared" si="3"/>
        <v>0</v>
      </c>
      <c r="H24" s="5">
        <v>11.1</v>
      </c>
      <c r="I24" s="5">
        <v>1</v>
      </c>
      <c r="J24" s="5"/>
      <c r="M24">
        <f t="shared" si="4"/>
        <v>0</v>
      </c>
      <c r="N24">
        <f t="shared" si="5"/>
        <v>1110</v>
      </c>
      <c r="O24">
        <f t="shared" si="6"/>
        <v>1110</v>
      </c>
      <c r="P24" s="6">
        <f t="shared" si="7"/>
        <v>-110</v>
      </c>
    </row>
    <row r="25" spans="2:17" x14ac:dyDescent="0.15">
      <c r="B25" s="16" t="s">
        <v>86</v>
      </c>
      <c r="C25" s="31" t="s">
        <v>99</v>
      </c>
      <c r="D25" s="27"/>
      <c r="E25" s="21"/>
      <c r="F25" s="14">
        <f t="shared" si="3"/>
        <v>0</v>
      </c>
      <c r="H25" s="5">
        <v>13.5</v>
      </c>
      <c r="I25" s="5">
        <f>IF(E25&lt;0.8*H25,L25,Q25)</f>
        <v>1.2</v>
      </c>
      <c r="J25" s="5">
        <v>0.3</v>
      </c>
      <c r="K25" s="5">
        <v>0.6</v>
      </c>
      <c r="L25" s="5">
        <v>1.2</v>
      </c>
      <c r="M25">
        <f t="shared" si="4"/>
        <v>0</v>
      </c>
      <c r="N25">
        <f t="shared" si="5"/>
        <v>1350</v>
      </c>
      <c r="O25">
        <f t="shared" si="6"/>
        <v>1350</v>
      </c>
      <c r="P25" s="6">
        <f>IF(E25&lt;0.8*H25,1000-((N25-0.8*N25)*K25+(O25-(N25-N25*0.8))*L25),1000-O25*I25)</f>
        <v>-458</v>
      </c>
      <c r="Q25" s="5">
        <f>IF(E25&gt;H25,J25,K25)</f>
        <v>0.6</v>
      </c>
    </row>
    <row r="26" spans="2:17" x14ac:dyDescent="0.15">
      <c r="B26" s="16" t="s">
        <v>87</v>
      </c>
      <c r="C26" s="31" t="s">
        <v>100</v>
      </c>
      <c r="D26" s="27"/>
      <c r="E26" s="21"/>
      <c r="F26" s="14">
        <f t="shared" si="3"/>
        <v>0</v>
      </c>
      <c r="H26" s="5">
        <v>40</v>
      </c>
      <c r="I26" s="5">
        <f>IF(E26&lt;0.8*H26,L26,Q26)</f>
        <v>0.5</v>
      </c>
      <c r="J26" s="5">
        <v>0.13</v>
      </c>
      <c r="K26" s="5">
        <v>0.25</v>
      </c>
      <c r="L26" s="5">
        <v>0.5</v>
      </c>
      <c r="M26">
        <f t="shared" si="4"/>
        <v>0</v>
      </c>
      <c r="N26">
        <f t="shared" si="5"/>
        <v>4000</v>
      </c>
      <c r="O26">
        <f t="shared" si="6"/>
        <v>4000</v>
      </c>
      <c r="P26" s="6">
        <f>IF(E26&lt;0.8*H26,1000-((N26-0.8*N26)*K26+(O26-(N26-N26*0.8))*L26),1000-O26*I26)</f>
        <v>-800</v>
      </c>
      <c r="Q26" s="5">
        <f>IF(E26&gt;H26,J26,K26)</f>
        <v>0.25</v>
      </c>
    </row>
    <row r="27" spans="2:17" x14ac:dyDescent="0.15">
      <c r="B27" s="16" t="s">
        <v>88</v>
      </c>
      <c r="C27" s="31" t="s">
        <v>143</v>
      </c>
      <c r="D27" s="27"/>
      <c r="E27" s="21"/>
      <c r="F27" s="14">
        <f t="shared" si="3"/>
        <v>0</v>
      </c>
      <c r="H27" s="5">
        <v>37</v>
      </c>
      <c r="I27" s="5">
        <f>IF(E27&lt;0.8*H27,L27,Q27)</f>
        <v>0.4</v>
      </c>
      <c r="J27" s="5">
        <v>0.1</v>
      </c>
      <c r="K27" s="5">
        <v>0.2</v>
      </c>
      <c r="L27" s="5">
        <v>0.4</v>
      </c>
      <c r="M27">
        <f t="shared" si="4"/>
        <v>0</v>
      </c>
      <c r="N27">
        <f t="shared" si="5"/>
        <v>3700</v>
      </c>
      <c r="O27">
        <f t="shared" si="6"/>
        <v>3700</v>
      </c>
      <c r="P27" s="6">
        <f>IF(E27&lt;0.8*H27,1000-((N27-0.8*N27)*K27+(O27-(N27-N27*0.8))*L27),1000-O27*I27)</f>
        <v>-332</v>
      </c>
      <c r="Q27" s="5">
        <f>IF(E27&gt;H27,J27,K27)</f>
        <v>0.2</v>
      </c>
    </row>
    <row r="28" spans="2:17" x14ac:dyDescent="0.15">
      <c r="B28" s="16" t="s">
        <v>89</v>
      </c>
      <c r="C28" s="31" t="s">
        <v>96</v>
      </c>
      <c r="D28" s="27"/>
      <c r="E28" s="21"/>
      <c r="F28" s="14">
        <f t="shared" si="3"/>
        <v>0</v>
      </c>
      <c r="H28" s="5">
        <v>45</v>
      </c>
      <c r="I28" s="5">
        <f>IF(E28&lt;0.8*H28,L28,Q28)</f>
        <v>0.4</v>
      </c>
      <c r="J28" s="5">
        <v>0.1</v>
      </c>
      <c r="K28" s="5">
        <v>0.2</v>
      </c>
      <c r="L28" s="5">
        <v>0.4</v>
      </c>
      <c r="M28">
        <f t="shared" si="4"/>
        <v>0</v>
      </c>
      <c r="N28">
        <f t="shared" si="5"/>
        <v>4500</v>
      </c>
      <c r="O28">
        <f t="shared" si="6"/>
        <v>4500</v>
      </c>
      <c r="P28" s="6">
        <f>IF(E28&lt;0.8*H28,1000-((N28-0.8*N28)*K28+(O28-(N28-N28*0.8))*L28),1000-O28*I28)</f>
        <v>-620</v>
      </c>
      <c r="Q28" s="5">
        <f>IF(E28&gt;H28,J28,K28)</f>
        <v>0.2</v>
      </c>
    </row>
    <row r="29" spans="2:17" x14ac:dyDescent="0.15">
      <c r="B29" s="16" t="s">
        <v>90</v>
      </c>
      <c r="C29" s="31" t="s">
        <v>101</v>
      </c>
      <c r="D29" s="27"/>
      <c r="E29" s="21"/>
      <c r="F29" s="14">
        <f t="shared" si="3"/>
        <v>0</v>
      </c>
      <c r="H29" s="5">
        <v>70</v>
      </c>
      <c r="I29" s="5">
        <f>IF(E29&lt;0.8*H29,L29,Q29)</f>
        <v>0.3</v>
      </c>
      <c r="J29" s="5">
        <v>0.08</v>
      </c>
      <c r="K29" s="5">
        <v>0.15</v>
      </c>
      <c r="L29" s="5">
        <v>0.3</v>
      </c>
      <c r="M29">
        <f>E29*100</f>
        <v>0</v>
      </c>
      <c r="N29">
        <f>H29*100</f>
        <v>7000</v>
      </c>
      <c r="O29">
        <f>N29-M29</f>
        <v>7000</v>
      </c>
      <c r="P29" s="6">
        <f>IF(E29&lt;0.8*H29,1000-((N29-0.8*N29)*K29+(O29-(N29-N29*0.8))*L29),1000-O29*I29)</f>
        <v>-890</v>
      </c>
      <c r="Q29" s="5">
        <f>IF(E29&gt;H29,J29,K29)</f>
        <v>0.15</v>
      </c>
    </row>
    <row r="31" spans="2:17" x14ac:dyDescent="0.15">
      <c r="B31" s="60" t="s">
        <v>47</v>
      </c>
      <c r="C31" s="60"/>
      <c r="D31" s="60"/>
      <c r="E31" s="60"/>
      <c r="F31" s="60"/>
    </row>
    <row r="32" spans="2:17" x14ac:dyDescent="0.15">
      <c r="B32" s="60" t="s">
        <v>36</v>
      </c>
      <c r="C32" s="60"/>
      <c r="D32" s="60"/>
      <c r="E32" s="60"/>
      <c r="F32" s="60"/>
    </row>
    <row r="33" spans="2:6" x14ac:dyDescent="0.15">
      <c r="B33" s="60" t="s">
        <v>35</v>
      </c>
      <c r="C33" s="60"/>
      <c r="D33" s="60"/>
      <c r="E33" s="60"/>
      <c r="F33" s="60"/>
    </row>
    <row r="35" spans="2:6" ht="16" x14ac:dyDescent="0.2">
      <c r="B35" s="58" t="s">
        <v>146</v>
      </c>
      <c r="C35" s="59"/>
      <c r="D35" s="59"/>
      <c r="E35" s="59"/>
      <c r="F35" s="59"/>
    </row>
  </sheetData>
  <sheetProtection password="CCED" sheet="1" objects="1" scenarios="1" selectLockedCells="1"/>
  <mergeCells count="6">
    <mergeCell ref="D4:E4"/>
    <mergeCell ref="B35:F35"/>
    <mergeCell ref="B4:C4"/>
    <mergeCell ref="B31:F31"/>
    <mergeCell ref="B32:F32"/>
    <mergeCell ref="B33:F33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10"/>
  </sheetPr>
  <dimension ref="A1:Q35"/>
  <sheetViews>
    <sheetView showGridLines="0" showRowColHeaders="0" showOutlineSymbols="0" workbookViewId="0">
      <selection activeCell="E27" sqref="E27"/>
    </sheetView>
  </sheetViews>
  <sheetFormatPr baseColWidth="10" defaultColWidth="8.83203125" defaultRowHeight="13" x14ac:dyDescent="0.15"/>
  <cols>
    <col min="1" max="1" width="11.5" customWidth="1"/>
    <col min="2" max="2" width="15.5" customWidth="1"/>
    <col min="3" max="3" width="12.83203125" customWidth="1"/>
    <col min="4" max="6" width="11.5" customWidth="1"/>
    <col min="7" max="7" width="4.83203125" customWidth="1"/>
    <col min="8" max="8" width="9.5" hidden="1" customWidth="1"/>
    <col min="9" max="9" width="8.33203125" hidden="1" customWidth="1"/>
    <col min="10" max="11" width="8.1640625" hidden="1" customWidth="1"/>
    <col min="12" max="12" width="8.33203125" hidden="1" customWidth="1"/>
    <col min="13" max="13" width="5.5" hidden="1" customWidth="1"/>
    <col min="14" max="14" width="7" hidden="1" customWidth="1"/>
    <col min="15" max="15" width="7.33203125" hidden="1" customWidth="1"/>
    <col min="16" max="16" width="13.33203125" hidden="1" customWidth="1"/>
    <col min="17" max="17" width="6.332031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72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61" t="s">
        <v>1</v>
      </c>
      <c r="E4" s="61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9" t="s">
        <v>32</v>
      </c>
      <c r="E5" s="39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5" t="s">
        <v>8</v>
      </c>
      <c r="C6" s="19"/>
      <c r="D6" s="27"/>
      <c r="E6" s="22"/>
      <c r="F6" s="14">
        <f t="shared" ref="F6:F17" si="0">IF(P6&lt;0,0,IF(E6=0,0,ROUNDDOWN(P6,0)))</f>
        <v>0</v>
      </c>
      <c r="H6" s="5">
        <v>8.4</v>
      </c>
      <c r="I6" s="5">
        <v>2.7</v>
      </c>
      <c r="J6" s="5"/>
      <c r="M6">
        <f>E6*100</f>
        <v>0</v>
      </c>
      <c r="N6">
        <f>H6*100</f>
        <v>840</v>
      </c>
      <c r="O6">
        <f t="shared" ref="O6:O12" si="1">N6-M6</f>
        <v>840</v>
      </c>
      <c r="P6" s="6">
        <f t="shared" ref="P6:P12" si="2">1000+O6*I6</f>
        <v>3268</v>
      </c>
    </row>
    <row r="7" spans="1:17" x14ac:dyDescent="0.15">
      <c r="B7" s="16" t="s">
        <v>69</v>
      </c>
      <c r="C7" s="19"/>
      <c r="D7" s="27"/>
      <c r="E7" s="21"/>
      <c r="F7" s="14">
        <f t="shared" si="0"/>
        <v>0</v>
      </c>
      <c r="H7" s="5">
        <v>10.85</v>
      </c>
      <c r="I7" s="5">
        <v>2.1</v>
      </c>
      <c r="J7" s="5"/>
      <c r="M7">
        <f>E7*100</f>
        <v>0</v>
      </c>
      <c r="N7">
        <f>H7*100</f>
        <v>1085</v>
      </c>
      <c r="O7">
        <f t="shared" si="1"/>
        <v>1085</v>
      </c>
      <c r="P7" s="6">
        <f t="shared" si="2"/>
        <v>3278.5</v>
      </c>
    </row>
    <row r="8" spans="1:17" x14ac:dyDescent="0.15">
      <c r="B8" s="16" t="s">
        <v>13</v>
      </c>
      <c r="C8" s="19"/>
      <c r="D8" s="27"/>
      <c r="E8" s="21"/>
      <c r="F8" s="14">
        <f t="shared" si="0"/>
        <v>0</v>
      </c>
      <c r="H8" s="5">
        <v>13.4</v>
      </c>
      <c r="I8" s="5">
        <v>1.6</v>
      </c>
      <c r="J8" s="5"/>
      <c r="M8">
        <f>E8*100</f>
        <v>0</v>
      </c>
      <c r="N8">
        <f>H8*100</f>
        <v>1340</v>
      </c>
      <c r="O8">
        <f t="shared" si="1"/>
        <v>1340</v>
      </c>
      <c r="P8" s="6">
        <f t="shared" si="2"/>
        <v>3144</v>
      </c>
    </row>
    <row r="9" spans="1:17" x14ac:dyDescent="0.15">
      <c r="B9" s="16" t="s">
        <v>14</v>
      </c>
      <c r="C9" s="19"/>
      <c r="D9" s="27"/>
      <c r="E9" s="21"/>
      <c r="F9" s="14">
        <f t="shared" si="0"/>
        <v>0</v>
      </c>
      <c r="H9" s="5">
        <v>27.7</v>
      </c>
      <c r="I9" s="5">
        <v>0.78</v>
      </c>
      <c r="J9" s="5"/>
      <c r="M9">
        <f>E9*100</f>
        <v>0</v>
      </c>
      <c r="N9">
        <f>H9*100</f>
        <v>2770</v>
      </c>
      <c r="O9">
        <f t="shared" si="1"/>
        <v>2770</v>
      </c>
      <c r="P9" s="6">
        <f t="shared" si="2"/>
        <v>3160.6</v>
      </c>
    </row>
    <row r="10" spans="1:17" x14ac:dyDescent="0.15">
      <c r="B10" s="16" t="s">
        <v>15</v>
      </c>
      <c r="C10" s="19"/>
      <c r="D10" s="27"/>
      <c r="E10" s="21"/>
      <c r="F10" s="14">
        <f t="shared" si="0"/>
        <v>0</v>
      </c>
      <c r="H10" s="5">
        <v>44.5</v>
      </c>
      <c r="I10" s="5">
        <v>0.5</v>
      </c>
      <c r="J10" s="5"/>
      <c r="M10">
        <f>E10*100</f>
        <v>0</v>
      </c>
      <c r="N10">
        <f>H10*100</f>
        <v>4450</v>
      </c>
      <c r="O10">
        <f>N10-M10</f>
        <v>4450</v>
      </c>
      <c r="P10" s="6">
        <f>1000+O10*I10</f>
        <v>3225</v>
      </c>
    </row>
    <row r="11" spans="1:17" x14ac:dyDescent="0.15">
      <c r="B11" s="15" t="s">
        <v>9</v>
      </c>
      <c r="C11" s="19"/>
      <c r="D11" s="24"/>
      <c r="E11" s="22"/>
      <c r="F11" s="14">
        <f>IF(P11&lt;0,0,IF(AND(E11=0,D11=0),0,ROUNDDOWN(P11,0)))</f>
        <v>0</v>
      </c>
      <c r="H11" s="5">
        <v>102</v>
      </c>
      <c r="I11" s="5">
        <v>2.4</v>
      </c>
      <c r="J11" s="5"/>
      <c r="M11">
        <f>(D11*60+E11)*10</f>
        <v>0</v>
      </c>
      <c r="N11">
        <f>H11*10</f>
        <v>1020</v>
      </c>
      <c r="O11">
        <f t="shared" si="1"/>
        <v>1020</v>
      </c>
      <c r="P11" s="6">
        <f t="shared" si="2"/>
        <v>3448</v>
      </c>
    </row>
    <row r="12" spans="1:17" x14ac:dyDescent="0.15">
      <c r="B12" s="15" t="s">
        <v>18</v>
      </c>
      <c r="C12" s="20"/>
      <c r="D12" s="24"/>
      <c r="E12" s="22"/>
      <c r="F12" s="14">
        <f>IF(P12&lt;0,0,IF(AND(E12=0,D12=0),0,ROUNDDOWN(P12,0)))</f>
        <v>0</v>
      </c>
      <c r="H12" s="5">
        <v>305</v>
      </c>
      <c r="I12" s="5">
        <v>0.6</v>
      </c>
      <c r="J12" s="5"/>
      <c r="M12">
        <f>(D12*60+E12)*10</f>
        <v>0</v>
      </c>
      <c r="N12">
        <f>H12*10</f>
        <v>3050</v>
      </c>
      <c r="O12">
        <f t="shared" si="1"/>
        <v>3050</v>
      </c>
      <c r="P12" s="6">
        <f t="shared" si="2"/>
        <v>2830</v>
      </c>
    </row>
    <row r="13" spans="1:17" x14ac:dyDescent="0.15">
      <c r="B13" s="16" t="s">
        <v>17</v>
      </c>
      <c r="C13" s="48" t="s">
        <v>137</v>
      </c>
      <c r="D13" s="24"/>
      <c r="E13" s="21"/>
      <c r="F13" s="14">
        <f>IF(P13&lt;0,0,IF(AND(E13=0,D13=0),0,ROUNDDOWN(P13,0)))</f>
        <v>0</v>
      </c>
      <c r="H13" s="5">
        <v>288</v>
      </c>
      <c r="I13" s="5">
        <v>0.7</v>
      </c>
      <c r="J13" s="5"/>
      <c r="M13">
        <f>(D13*60+E13)*10</f>
        <v>0</v>
      </c>
      <c r="N13">
        <f>H13*10</f>
        <v>2880</v>
      </c>
      <c r="O13">
        <f>N13-M13</f>
        <v>2880</v>
      </c>
      <c r="P13" s="6">
        <f>1000+O13*I13</f>
        <v>3016</v>
      </c>
    </row>
    <row r="14" spans="1:17" x14ac:dyDescent="0.15">
      <c r="B14" s="16" t="s">
        <v>19</v>
      </c>
      <c r="C14" s="48" t="s">
        <v>137</v>
      </c>
      <c r="D14" s="25"/>
      <c r="E14" s="21"/>
      <c r="F14" s="14">
        <f>IF(P14&lt;0,0,IF(AND(E14=0,D14=0),0,ROUNDDOWN(P14,0)))</f>
        <v>0</v>
      </c>
      <c r="H14" s="5">
        <v>640</v>
      </c>
      <c r="I14" s="5">
        <v>0.3</v>
      </c>
      <c r="J14" s="5"/>
      <c r="M14">
        <f>(D14*60+E14)*10</f>
        <v>0</v>
      </c>
      <c r="N14">
        <f>H14*10</f>
        <v>6400</v>
      </c>
      <c r="O14">
        <f>N14-M14</f>
        <v>6400</v>
      </c>
      <c r="P14" s="6">
        <f>1000+O14*I14</f>
        <v>2920</v>
      </c>
    </row>
    <row r="15" spans="1:17" x14ac:dyDescent="0.15">
      <c r="B15" s="16" t="s">
        <v>21</v>
      </c>
      <c r="C15" s="48" t="s">
        <v>137</v>
      </c>
      <c r="D15" s="25"/>
      <c r="E15" s="21"/>
      <c r="F15" s="14">
        <f>IF(P15&lt;0,0,IF(AND(E15=0,D15=0),0,ROUNDDOWN(P15,0)))</f>
        <v>0</v>
      </c>
      <c r="H15" s="5">
        <v>1002</v>
      </c>
      <c r="I15" s="5">
        <v>0.18</v>
      </c>
      <c r="J15" s="5"/>
      <c r="M15">
        <f>(D15*60+E15)*10</f>
        <v>0</v>
      </c>
      <c r="N15">
        <f>H15*10</f>
        <v>10020</v>
      </c>
      <c r="O15">
        <f>N15-M15</f>
        <v>10020</v>
      </c>
      <c r="P15" s="6">
        <f>1000+O15*I15</f>
        <v>2803.6</v>
      </c>
    </row>
    <row r="16" spans="1:17" x14ac:dyDescent="0.15">
      <c r="B16" s="16" t="s">
        <v>79</v>
      </c>
      <c r="C16" s="31" t="s">
        <v>106</v>
      </c>
      <c r="D16" s="28"/>
      <c r="E16" s="21"/>
      <c r="F16" s="14">
        <f t="shared" si="0"/>
        <v>0</v>
      </c>
      <c r="H16" s="5">
        <v>10.1</v>
      </c>
      <c r="I16" s="5">
        <v>1.9</v>
      </c>
      <c r="J16" s="5"/>
      <c r="M16">
        <f>E16*100</f>
        <v>0</v>
      </c>
      <c r="N16">
        <f>H16*100</f>
        <v>1010</v>
      </c>
      <c r="O16">
        <f>N16-M16</f>
        <v>1010</v>
      </c>
      <c r="P16" s="6">
        <f>1000+O16*I16</f>
        <v>2919</v>
      </c>
    </row>
    <row r="17" spans="2:17" x14ac:dyDescent="0.15">
      <c r="B17" s="16" t="s">
        <v>81</v>
      </c>
      <c r="C17" s="31" t="s">
        <v>80</v>
      </c>
      <c r="D17" s="30"/>
      <c r="E17" s="21"/>
      <c r="F17" s="14">
        <f t="shared" si="0"/>
        <v>0</v>
      </c>
      <c r="H17" s="5">
        <v>32.4</v>
      </c>
      <c r="I17" s="5">
        <v>0.5</v>
      </c>
      <c r="J17" s="5"/>
      <c r="M17">
        <f>E17*100</f>
        <v>0</v>
      </c>
      <c r="N17">
        <f>H17*100</f>
        <v>3240</v>
      </c>
      <c r="O17">
        <f>N17-M17</f>
        <v>3240</v>
      </c>
      <c r="P17" s="6">
        <f>1000+O17*I17</f>
        <v>2620</v>
      </c>
    </row>
    <row r="18" spans="2:17" ht="16" x14ac:dyDescent="0.2">
      <c r="B18" s="7"/>
      <c r="C18" s="7"/>
      <c r="D18" s="7"/>
      <c r="E18" s="39" t="s">
        <v>34</v>
      </c>
      <c r="F18" s="4"/>
      <c r="G18" s="4"/>
      <c r="H18" s="8"/>
      <c r="I18" s="8"/>
      <c r="J18" s="8"/>
      <c r="K18" s="4"/>
      <c r="L18" s="4"/>
      <c r="M18" s="4"/>
      <c r="N18" s="4"/>
      <c r="O18" s="4"/>
      <c r="P18" s="4"/>
      <c r="Q18" s="4"/>
    </row>
    <row r="19" spans="2:17" x14ac:dyDescent="0.15">
      <c r="B19" s="16" t="s">
        <v>10</v>
      </c>
      <c r="C19" s="18"/>
      <c r="D19" s="26"/>
      <c r="E19" s="21"/>
      <c r="F19" s="14">
        <f t="shared" ref="F19:F29" si="3">IF(P19&lt;0,0,IF(E19=0,0,ROUNDDOWN(P19,0)))</f>
        <v>0</v>
      </c>
      <c r="H19" s="5">
        <v>1.52</v>
      </c>
      <c r="I19" s="5">
        <v>7.5</v>
      </c>
      <c r="J19" s="5"/>
      <c r="M19">
        <f t="shared" ref="M19:M29" si="4">E19*100</f>
        <v>0</v>
      </c>
      <c r="N19">
        <f t="shared" ref="N19:N29" si="5">H19*100</f>
        <v>152</v>
      </c>
      <c r="O19">
        <f t="shared" ref="O19:O29" si="6">N19-M19</f>
        <v>152</v>
      </c>
      <c r="P19" s="6">
        <f t="shared" ref="P19:P24" si="7">1000-O19*I19</f>
        <v>-140</v>
      </c>
    </row>
    <row r="20" spans="2:17" x14ac:dyDescent="0.15">
      <c r="B20" s="16" t="s">
        <v>27</v>
      </c>
      <c r="C20" s="19"/>
      <c r="D20" s="27"/>
      <c r="E20" s="21"/>
      <c r="F20" s="14">
        <f t="shared" si="3"/>
        <v>0</v>
      </c>
      <c r="H20" s="5">
        <v>1.26</v>
      </c>
      <c r="I20" s="5">
        <v>9.5</v>
      </c>
      <c r="J20" s="5"/>
      <c r="M20">
        <f t="shared" si="4"/>
        <v>0</v>
      </c>
      <c r="N20">
        <f t="shared" si="5"/>
        <v>126</v>
      </c>
      <c r="O20">
        <f t="shared" si="6"/>
        <v>126</v>
      </c>
      <c r="P20" s="6">
        <f t="shared" si="7"/>
        <v>-197</v>
      </c>
    </row>
    <row r="21" spans="2:17" x14ac:dyDescent="0.15">
      <c r="B21" s="16" t="s">
        <v>28</v>
      </c>
      <c r="C21" s="19"/>
      <c r="D21" s="27"/>
      <c r="E21" s="21"/>
      <c r="F21" s="14">
        <f t="shared" si="3"/>
        <v>0</v>
      </c>
      <c r="H21" s="5">
        <v>2.5</v>
      </c>
      <c r="I21" s="5">
        <f>IF(E21&lt;0.8*H21,L21,Q21)</f>
        <v>8</v>
      </c>
      <c r="J21" s="5">
        <v>2</v>
      </c>
      <c r="K21" s="5">
        <v>4</v>
      </c>
      <c r="L21" s="5">
        <v>8</v>
      </c>
      <c r="M21">
        <f t="shared" si="4"/>
        <v>0</v>
      </c>
      <c r="N21">
        <f t="shared" si="5"/>
        <v>250</v>
      </c>
      <c r="O21">
        <f t="shared" si="6"/>
        <v>250</v>
      </c>
      <c r="P21" s="6">
        <f>IF(E21&lt;0.8*H21,1000-((N21-0.8*N21)*K21+(O21-(N21-N21*0.8))*L21),1000-O21*I21)</f>
        <v>-800</v>
      </c>
      <c r="Q21" s="5">
        <f>IF(E21&gt;H21,J21,K21)</f>
        <v>4</v>
      </c>
    </row>
    <row r="22" spans="2:17" x14ac:dyDescent="0.15">
      <c r="B22" s="16" t="s">
        <v>11</v>
      </c>
      <c r="C22" s="19"/>
      <c r="D22" s="27"/>
      <c r="E22" s="21"/>
      <c r="F22" s="14">
        <f t="shared" si="3"/>
        <v>0</v>
      </c>
      <c r="H22" s="5">
        <v>5</v>
      </c>
      <c r="I22" s="5">
        <v>2.1</v>
      </c>
      <c r="J22" s="5"/>
      <c r="M22">
        <f t="shared" si="4"/>
        <v>0</v>
      </c>
      <c r="N22">
        <f t="shared" si="5"/>
        <v>500</v>
      </c>
      <c r="O22">
        <f t="shared" si="6"/>
        <v>500</v>
      </c>
      <c r="P22" s="6">
        <f t="shared" si="7"/>
        <v>-50</v>
      </c>
    </row>
    <row r="23" spans="2:17" x14ac:dyDescent="0.15">
      <c r="B23" s="16" t="s">
        <v>29</v>
      </c>
      <c r="C23" s="19"/>
      <c r="D23" s="27"/>
      <c r="E23" s="21"/>
      <c r="F23" s="14">
        <f t="shared" si="3"/>
        <v>0</v>
      </c>
      <c r="H23" s="5">
        <v>2.4</v>
      </c>
      <c r="I23" s="5">
        <v>6</v>
      </c>
      <c r="J23" s="5"/>
      <c r="M23">
        <f t="shared" si="4"/>
        <v>0</v>
      </c>
      <c r="N23">
        <f t="shared" si="5"/>
        <v>240</v>
      </c>
      <c r="O23">
        <f t="shared" si="6"/>
        <v>240</v>
      </c>
      <c r="P23" s="6">
        <f t="shared" si="7"/>
        <v>-440</v>
      </c>
    </row>
    <row r="24" spans="2:17" x14ac:dyDescent="0.15">
      <c r="B24" s="16" t="s">
        <v>30</v>
      </c>
      <c r="C24" s="20"/>
      <c r="D24" s="27"/>
      <c r="E24" s="21"/>
      <c r="F24" s="14">
        <f t="shared" si="3"/>
        <v>0</v>
      </c>
      <c r="H24" s="5">
        <v>10.199999999999999</v>
      </c>
      <c r="I24" s="5">
        <v>1</v>
      </c>
      <c r="J24" s="5"/>
      <c r="M24">
        <f t="shared" si="4"/>
        <v>0</v>
      </c>
      <c r="N24">
        <f t="shared" si="5"/>
        <v>1019.9999999999999</v>
      </c>
      <c r="O24">
        <f t="shared" si="6"/>
        <v>1019.9999999999999</v>
      </c>
      <c r="P24" s="6">
        <f t="shared" si="7"/>
        <v>-19.999999999999886</v>
      </c>
    </row>
    <row r="25" spans="2:17" x14ac:dyDescent="0.15">
      <c r="B25" s="16" t="s">
        <v>86</v>
      </c>
      <c r="C25" s="31" t="s">
        <v>94</v>
      </c>
      <c r="D25" s="27"/>
      <c r="E25" s="21"/>
      <c r="F25" s="14">
        <f t="shared" si="3"/>
        <v>0</v>
      </c>
      <c r="H25" s="5">
        <v>11.2</v>
      </c>
      <c r="I25" s="5">
        <f>IF(E25&lt;0.8*H25,L25,Q25)</f>
        <v>1.2</v>
      </c>
      <c r="J25" s="5">
        <v>0.3</v>
      </c>
      <c r="K25" s="5">
        <v>0.6</v>
      </c>
      <c r="L25" s="5">
        <v>1.2</v>
      </c>
      <c r="M25">
        <f t="shared" si="4"/>
        <v>0</v>
      </c>
      <c r="N25">
        <f t="shared" si="5"/>
        <v>1120</v>
      </c>
      <c r="O25">
        <f t="shared" si="6"/>
        <v>1120</v>
      </c>
      <c r="P25" s="6">
        <f>IF(E25&lt;0.8*H25,1000-((N25-0.8*N25)*K25+(O25-(N25-N25*0.8))*L25),1000-O25*I25)</f>
        <v>-209.60000000000014</v>
      </c>
      <c r="Q25" s="5">
        <f>IF(E25&gt;H25,J25,K25)</f>
        <v>0.6</v>
      </c>
    </row>
    <row r="26" spans="2:17" x14ac:dyDescent="0.15">
      <c r="B26" s="16" t="s">
        <v>87</v>
      </c>
      <c r="C26" s="31" t="s">
        <v>95</v>
      </c>
      <c r="D26" s="27"/>
      <c r="E26" s="21"/>
      <c r="F26" s="14">
        <f t="shared" si="3"/>
        <v>0</v>
      </c>
      <c r="H26" s="5">
        <v>38</v>
      </c>
      <c r="I26" s="5">
        <f>IF(E26&lt;0.8*H26,L26,Q26)</f>
        <v>0.6</v>
      </c>
      <c r="J26" s="5">
        <v>0.15</v>
      </c>
      <c r="K26" s="5">
        <v>0.3</v>
      </c>
      <c r="L26" s="5">
        <v>0.6</v>
      </c>
      <c r="M26">
        <f t="shared" si="4"/>
        <v>0</v>
      </c>
      <c r="N26">
        <f t="shared" si="5"/>
        <v>3800</v>
      </c>
      <c r="O26">
        <f t="shared" si="6"/>
        <v>3800</v>
      </c>
      <c r="P26" s="6">
        <f>IF(E26&lt;0.8*H26,1000-((N26-0.8*N26)*K26+(O26-(N26-N26*0.8))*L26),1000-O26*I26)</f>
        <v>-1052</v>
      </c>
      <c r="Q26" s="5">
        <f>IF(E26&gt;H26,J26,K26)</f>
        <v>0.3</v>
      </c>
    </row>
    <row r="27" spans="2:17" x14ac:dyDescent="0.15">
      <c r="B27" s="16" t="s">
        <v>88</v>
      </c>
      <c r="C27" s="31" t="s">
        <v>148</v>
      </c>
      <c r="D27" s="27"/>
      <c r="E27" s="21"/>
      <c r="F27" s="14">
        <f t="shared" si="3"/>
        <v>0</v>
      </c>
      <c r="H27" s="5">
        <v>38</v>
      </c>
      <c r="I27" s="5">
        <f>IF(E27&lt;0.8*H27,L27,Q27)</f>
        <v>0.5</v>
      </c>
      <c r="J27" s="5">
        <v>0.12</v>
      </c>
      <c r="K27" s="5">
        <v>0.25</v>
      </c>
      <c r="L27" s="5">
        <v>0.5</v>
      </c>
      <c r="M27">
        <f>E27*100</f>
        <v>0</v>
      </c>
      <c r="N27">
        <f>H27*100</f>
        <v>3800</v>
      </c>
      <c r="O27">
        <f>N27-M27</f>
        <v>3800</v>
      </c>
      <c r="P27" s="6">
        <f>IF(E27&lt;0.8*H27,1000-((N27-0.8*N27)*K27+(O27-(N27-N27*0.8))*L27),1000-O27*I27)</f>
        <v>-710</v>
      </c>
      <c r="Q27" s="5">
        <f>IF(E27&gt;H27,J27,K27)</f>
        <v>0.25</v>
      </c>
    </row>
    <row r="28" spans="2:17" x14ac:dyDescent="0.15">
      <c r="B28" s="16" t="s">
        <v>89</v>
      </c>
      <c r="C28" s="31" t="s">
        <v>96</v>
      </c>
      <c r="D28" s="27"/>
      <c r="E28" s="21"/>
      <c r="F28" s="14">
        <f t="shared" si="3"/>
        <v>0</v>
      </c>
      <c r="H28" s="5">
        <v>36</v>
      </c>
      <c r="I28" s="5">
        <f>IF(E28&lt;0.8*H28,L28,Q28)</f>
        <v>0.5</v>
      </c>
      <c r="J28" s="5">
        <v>0.13</v>
      </c>
      <c r="K28" s="5">
        <v>0.25</v>
      </c>
      <c r="L28" s="5">
        <v>0.5</v>
      </c>
      <c r="M28">
        <f t="shared" si="4"/>
        <v>0</v>
      </c>
      <c r="N28">
        <f t="shared" si="5"/>
        <v>3600</v>
      </c>
      <c r="O28">
        <f t="shared" si="6"/>
        <v>3600</v>
      </c>
      <c r="P28" s="6">
        <f>IF(E28&lt;0.8*H28,1000-((N28-0.8*N28)*K28+(O28-(N28-N28*0.8))*L28),1000-O28*I28)</f>
        <v>-620</v>
      </c>
      <c r="Q28" s="5">
        <f>IF(E28&gt;H28,J28,K28)</f>
        <v>0.25</v>
      </c>
    </row>
    <row r="29" spans="2:17" x14ac:dyDescent="0.15">
      <c r="B29" s="16" t="s">
        <v>90</v>
      </c>
      <c r="C29" s="31" t="s">
        <v>101</v>
      </c>
      <c r="D29" s="27"/>
      <c r="E29" s="21"/>
      <c r="F29" s="14">
        <f t="shared" si="3"/>
        <v>0</v>
      </c>
      <c r="H29" s="5">
        <v>56</v>
      </c>
      <c r="I29" s="5">
        <f>IF(E29&lt;0.8*H29,L29,Q29)</f>
        <v>0.4</v>
      </c>
      <c r="J29" s="5">
        <v>0.1</v>
      </c>
      <c r="K29" s="5">
        <v>0.2</v>
      </c>
      <c r="L29" s="5">
        <v>0.4</v>
      </c>
      <c r="M29">
        <f t="shared" si="4"/>
        <v>0</v>
      </c>
      <c r="N29">
        <f t="shared" si="5"/>
        <v>5600</v>
      </c>
      <c r="O29">
        <f t="shared" si="6"/>
        <v>5600</v>
      </c>
      <c r="P29" s="6">
        <f>IF(E29&lt;0.8*H29,1000-((N29-0.8*N29)*K29+(O29-(N29-N29*0.8))*L29),1000-O29*I29)</f>
        <v>-1016</v>
      </c>
      <c r="Q29" s="5">
        <f>IF(E29&gt;H29,J29,K29)</f>
        <v>0.2</v>
      </c>
    </row>
    <row r="31" spans="2:17" x14ac:dyDescent="0.15">
      <c r="B31" s="60" t="s">
        <v>47</v>
      </c>
      <c r="C31" s="60"/>
      <c r="D31" s="60"/>
      <c r="E31" s="60"/>
      <c r="F31" s="60"/>
    </row>
    <row r="32" spans="2:17" x14ac:dyDescent="0.15">
      <c r="B32" s="60" t="s">
        <v>36</v>
      </c>
      <c r="C32" s="60"/>
      <c r="D32" s="60"/>
      <c r="E32" s="60"/>
      <c r="F32" s="60"/>
    </row>
    <row r="33" spans="2:6" x14ac:dyDescent="0.15">
      <c r="B33" s="60" t="s">
        <v>35</v>
      </c>
      <c r="C33" s="60"/>
      <c r="D33" s="60"/>
      <c r="E33" s="60"/>
      <c r="F33" s="60"/>
    </row>
    <row r="35" spans="2:6" ht="16" x14ac:dyDescent="0.2">
      <c r="B35" s="58" t="s">
        <v>146</v>
      </c>
      <c r="C35" s="59"/>
      <c r="D35" s="59"/>
      <c r="E35" s="59"/>
      <c r="F35" s="59"/>
    </row>
  </sheetData>
  <sheetProtection password="CCED" sheet="1" objects="1" scenarios="1" selectLockedCells="1"/>
  <mergeCells count="6">
    <mergeCell ref="D4:E4"/>
    <mergeCell ref="B4:C4"/>
    <mergeCell ref="B35:F35"/>
    <mergeCell ref="B31:F31"/>
    <mergeCell ref="B32:F32"/>
    <mergeCell ref="B33:F33"/>
  </mergeCells>
  <phoneticPr fontId="4" type="noConversion"/>
  <pageMargins left="0.78740157499999996" right="0.78740157499999996" top="0.984251969" bottom="0.984251969" header="0.5" footer="0.5"/>
  <pageSetup paperSize="8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2"/>
  </sheetPr>
  <dimension ref="A1:Q34"/>
  <sheetViews>
    <sheetView showGridLines="0" showRowColHeaders="0" showOutlineSymbols="0" workbookViewId="0">
      <selection activeCell="E6" sqref="E6"/>
    </sheetView>
  </sheetViews>
  <sheetFormatPr baseColWidth="10" defaultColWidth="8.83203125" defaultRowHeight="13" x14ac:dyDescent="0.15"/>
  <cols>
    <col min="1" max="1" width="11.5" customWidth="1"/>
    <col min="2" max="2" width="16" customWidth="1"/>
    <col min="3" max="3" width="14" customWidth="1"/>
    <col min="4" max="6" width="11.5" customWidth="1"/>
    <col min="7" max="7" width="6.1640625" customWidth="1"/>
    <col min="8" max="8" width="9" hidden="1" customWidth="1"/>
    <col min="9" max="9" width="8.33203125" hidden="1" customWidth="1"/>
    <col min="10" max="10" width="8" hidden="1" customWidth="1"/>
    <col min="11" max="11" width="8.1640625" hidden="1" customWidth="1"/>
    <col min="12" max="12" width="8.33203125" hidden="1" customWidth="1"/>
    <col min="13" max="13" width="6" hidden="1" customWidth="1"/>
    <col min="14" max="14" width="6.33203125" hidden="1" customWidth="1"/>
    <col min="15" max="15" width="6.6640625" hidden="1" customWidth="1"/>
    <col min="16" max="16" width="13.5" hidden="1" customWidth="1"/>
    <col min="17" max="17" width="5.66406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73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56" t="s">
        <v>1</v>
      </c>
      <c r="E4" s="57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7" t="s">
        <v>32</v>
      </c>
      <c r="E5" s="38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6" t="s">
        <v>8</v>
      </c>
      <c r="C6" s="18"/>
      <c r="D6" s="26"/>
      <c r="E6" s="21"/>
      <c r="F6" s="14">
        <f t="shared" ref="F6:F15" si="0">IF(P6&lt;0,0,IF(E6=0,0,ROUNDDOWN(P6,0)))</f>
        <v>0</v>
      </c>
      <c r="H6" s="5">
        <v>8.4</v>
      </c>
      <c r="I6" s="5">
        <v>2.7</v>
      </c>
      <c r="J6" s="5"/>
      <c r="M6">
        <f>E6*100</f>
        <v>0</v>
      </c>
      <c r="N6">
        <f>H6*100</f>
        <v>840</v>
      </c>
      <c r="O6">
        <f t="shared" ref="O6:O15" si="1">N6-M6</f>
        <v>840</v>
      </c>
      <c r="P6" s="6">
        <f t="shared" ref="P6:P15" si="2">1000+O6*I6</f>
        <v>3268</v>
      </c>
    </row>
    <row r="7" spans="1:17" x14ac:dyDescent="0.15">
      <c r="B7" s="16" t="s">
        <v>69</v>
      </c>
      <c r="C7" s="19"/>
      <c r="D7" s="27"/>
      <c r="E7" s="21"/>
      <c r="F7" s="14">
        <f t="shared" si="0"/>
        <v>0</v>
      </c>
      <c r="H7" s="5">
        <v>10.9</v>
      </c>
      <c r="I7" s="5">
        <v>2.2000000000000002</v>
      </c>
      <c r="J7" s="5"/>
      <c r="M7">
        <f>E7*100</f>
        <v>0</v>
      </c>
      <c r="N7">
        <f>H7*100</f>
        <v>1090</v>
      </c>
      <c r="O7">
        <f t="shared" si="1"/>
        <v>1090</v>
      </c>
      <c r="P7" s="6">
        <f t="shared" si="2"/>
        <v>3398</v>
      </c>
    </row>
    <row r="8" spans="1:17" x14ac:dyDescent="0.15">
      <c r="B8" s="16" t="s">
        <v>13</v>
      </c>
      <c r="C8" s="19"/>
      <c r="D8" s="27"/>
      <c r="E8" s="21"/>
      <c r="F8" s="14">
        <f t="shared" si="0"/>
        <v>0</v>
      </c>
      <c r="H8" s="5">
        <v>13.5</v>
      </c>
      <c r="I8" s="5">
        <v>1.7</v>
      </c>
      <c r="J8" s="5"/>
      <c r="M8">
        <f>E8*100</f>
        <v>0</v>
      </c>
      <c r="N8">
        <f>H8*100</f>
        <v>1350</v>
      </c>
      <c r="O8">
        <f>N8-M8</f>
        <v>1350</v>
      </c>
      <c r="P8" s="6">
        <f>1000+O8*I8</f>
        <v>3295</v>
      </c>
    </row>
    <row r="9" spans="1:17" x14ac:dyDescent="0.15">
      <c r="B9" s="16" t="s">
        <v>14</v>
      </c>
      <c r="C9" s="19"/>
      <c r="D9" s="27"/>
      <c r="E9" s="21"/>
      <c r="F9" s="14">
        <f t="shared" si="0"/>
        <v>0</v>
      </c>
      <c r="H9" s="5">
        <v>27.6</v>
      </c>
      <c r="I9" s="5">
        <v>0.85</v>
      </c>
      <c r="J9" s="5"/>
      <c r="M9">
        <f>E9*100</f>
        <v>0</v>
      </c>
      <c r="N9">
        <f>H9*100</f>
        <v>2760</v>
      </c>
      <c r="O9">
        <f t="shared" si="1"/>
        <v>2760</v>
      </c>
      <c r="P9" s="6">
        <f t="shared" si="2"/>
        <v>3346</v>
      </c>
    </row>
    <row r="10" spans="1:17" x14ac:dyDescent="0.15">
      <c r="B10" s="16" t="s">
        <v>15</v>
      </c>
      <c r="C10" s="19"/>
      <c r="D10" s="30"/>
      <c r="E10" s="21"/>
      <c r="F10" s="14">
        <f>IF(P10&lt;0,0,IF(E10=0,0,ROUNDDOWN(P10,0)))</f>
        <v>0</v>
      </c>
      <c r="H10" s="5">
        <v>45</v>
      </c>
      <c r="I10" s="5">
        <v>0.6</v>
      </c>
      <c r="J10" s="5"/>
      <c r="M10">
        <f>E10*100</f>
        <v>0</v>
      </c>
      <c r="N10">
        <f>H10*100</f>
        <v>4500</v>
      </c>
      <c r="O10">
        <f>N10-M10</f>
        <v>4500</v>
      </c>
      <c r="P10" s="6">
        <f>1000+O10*I10</f>
        <v>3700</v>
      </c>
    </row>
    <row r="11" spans="1:17" x14ac:dyDescent="0.15">
      <c r="B11" s="15" t="s">
        <v>9</v>
      </c>
      <c r="C11" s="19"/>
      <c r="D11" s="23"/>
      <c r="E11" s="22"/>
      <c r="F11" s="14">
        <f>IF(P11&lt;0,0,IF(AND(E11=0,D11=0),0,ROUNDDOWN(P11,0)))</f>
        <v>0</v>
      </c>
      <c r="H11" s="5">
        <v>99</v>
      </c>
      <c r="I11" s="5">
        <v>2.6</v>
      </c>
      <c r="J11" s="5"/>
      <c r="M11">
        <f>(D11*60+E11)*10</f>
        <v>0</v>
      </c>
      <c r="N11">
        <f>H11*10</f>
        <v>990</v>
      </c>
      <c r="O11">
        <f t="shared" si="1"/>
        <v>990</v>
      </c>
      <c r="P11" s="6">
        <f t="shared" si="2"/>
        <v>3574</v>
      </c>
    </row>
    <row r="12" spans="1:17" x14ac:dyDescent="0.15">
      <c r="B12" s="15" t="s">
        <v>18</v>
      </c>
      <c r="C12" s="20"/>
      <c r="D12" s="24"/>
      <c r="E12" s="22"/>
      <c r="F12" s="14">
        <f>IF(P12&lt;0,0,IF(AND(E12=0,D12=0),0,ROUNDDOWN(P12,0)))</f>
        <v>0</v>
      </c>
      <c r="H12" s="5">
        <v>294</v>
      </c>
      <c r="I12" s="5">
        <v>0.7</v>
      </c>
      <c r="J12" s="5"/>
      <c r="M12">
        <f>(D12*60+E12)*10</f>
        <v>0</v>
      </c>
      <c r="N12">
        <f>H12*10</f>
        <v>2940</v>
      </c>
      <c r="O12">
        <f t="shared" si="1"/>
        <v>2940</v>
      </c>
      <c r="P12" s="6">
        <f t="shared" si="2"/>
        <v>3058</v>
      </c>
    </row>
    <row r="13" spans="1:17" x14ac:dyDescent="0.15">
      <c r="B13" s="16" t="s">
        <v>17</v>
      </c>
      <c r="C13" s="48" t="s">
        <v>137</v>
      </c>
      <c r="D13" s="24"/>
      <c r="E13" s="21"/>
      <c r="F13" s="14">
        <f>IF(P13&lt;0,0,IF(AND(E13=0,D13=0),0,ROUNDDOWN(P13,0)))</f>
        <v>0</v>
      </c>
      <c r="H13" s="5">
        <v>300</v>
      </c>
      <c r="I13" s="5">
        <v>0.7</v>
      </c>
      <c r="J13" s="5"/>
      <c r="M13">
        <f>(D13*60+E13)*10</f>
        <v>0</v>
      </c>
      <c r="N13">
        <f>H13*10</f>
        <v>3000</v>
      </c>
      <c r="O13">
        <f>N13-M13</f>
        <v>3000</v>
      </c>
      <c r="P13" s="6">
        <f>1000+O13*I13</f>
        <v>3100</v>
      </c>
    </row>
    <row r="14" spans="1:17" x14ac:dyDescent="0.15">
      <c r="B14" s="16" t="s">
        <v>79</v>
      </c>
      <c r="C14" s="31" t="s">
        <v>139</v>
      </c>
      <c r="D14" s="29"/>
      <c r="E14" s="21"/>
      <c r="F14" s="14">
        <f t="shared" si="0"/>
        <v>0</v>
      </c>
      <c r="H14" s="5">
        <v>10.199999999999999</v>
      </c>
      <c r="I14" s="5">
        <v>2</v>
      </c>
      <c r="J14" s="5"/>
      <c r="M14">
        <f>E14*100</f>
        <v>0</v>
      </c>
      <c r="N14">
        <f>H14*100</f>
        <v>1019.9999999999999</v>
      </c>
      <c r="O14">
        <f t="shared" si="1"/>
        <v>1019.9999999999999</v>
      </c>
      <c r="P14" s="6">
        <f t="shared" si="2"/>
        <v>3040</v>
      </c>
    </row>
    <row r="15" spans="1:17" x14ac:dyDescent="0.15">
      <c r="B15" s="16" t="s">
        <v>81</v>
      </c>
      <c r="C15" s="31" t="s">
        <v>93</v>
      </c>
      <c r="D15" s="30"/>
      <c r="E15" s="21"/>
      <c r="F15" s="14">
        <f t="shared" si="0"/>
        <v>0</v>
      </c>
      <c r="H15" s="5">
        <v>32.799999999999997</v>
      </c>
      <c r="I15" s="5">
        <v>0.6</v>
      </c>
      <c r="J15" s="5"/>
      <c r="M15">
        <f>E15*100</f>
        <v>0</v>
      </c>
      <c r="N15">
        <f>H15*100</f>
        <v>3279.9999999999995</v>
      </c>
      <c r="O15">
        <f t="shared" si="1"/>
        <v>3279.9999999999995</v>
      </c>
      <c r="P15" s="6">
        <f t="shared" si="2"/>
        <v>2967.9999999999995</v>
      </c>
    </row>
    <row r="16" spans="1:17" ht="16" x14ac:dyDescent="0.2">
      <c r="B16" s="7"/>
      <c r="C16" s="7"/>
      <c r="D16" s="7"/>
      <c r="E16" s="35" t="s">
        <v>34</v>
      </c>
      <c r="F16" s="4"/>
      <c r="G16" s="4"/>
      <c r="H16" s="8"/>
      <c r="I16" s="8"/>
      <c r="J16" s="8"/>
      <c r="K16" s="4"/>
      <c r="L16" s="4"/>
      <c r="M16" s="4"/>
      <c r="N16" s="4"/>
      <c r="O16" s="4"/>
      <c r="P16" s="4"/>
      <c r="Q16" s="4"/>
    </row>
    <row r="17" spans="2:17" x14ac:dyDescent="0.15">
      <c r="B17" s="16" t="s">
        <v>10</v>
      </c>
      <c r="C17" s="18"/>
      <c r="D17" s="26"/>
      <c r="E17" s="21"/>
      <c r="F17" s="14">
        <f t="shared" ref="F17:F28" si="3">IF(P17&lt;0,0,IF(E17=0,0,ROUNDDOWN(P17,0)))</f>
        <v>0</v>
      </c>
      <c r="H17" s="5">
        <v>1.5</v>
      </c>
      <c r="I17" s="5">
        <v>7</v>
      </c>
      <c r="J17" s="5"/>
      <c r="M17">
        <f t="shared" ref="M17:M28" si="4">E17*100</f>
        <v>0</v>
      </c>
      <c r="N17">
        <f t="shared" ref="N17:N28" si="5">H17*100</f>
        <v>150</v>
      </c>
      <c r="O17">
        <f t="shared" ref="O17:O28" si="6">N17-M17</f>
        <v>150</v>
      </c>
      <c r="P17" s="6">
        <f t="shared" ref="P17:P22" si="7">1000-O17*I17</f>
        <v>-50</v>
      </c>
    </row>
    <row r="18" spans="2:17" x14ac:dyDescent="0.15">
      <c r="B18" s="16" t="s">
        <v>27</v>
      </c>
      <c r="C18" s="19"/>
      <c r="D18" s="27"/>
      <c r="E18" s="21"/>
      <c r="F18" s="14">
        <f t="shared" si="3"/>
        <v>0</v>
      </c>
      <c r="H18" s="5">
        <v>1.2</v>
      </c>
      <c r="I18" s="5">
        <v>8.5</v>
      </c>
      <c r="J18" s="5"/>
      <c r="M18">
        <f t="shared" si="4"/>
        <v>0</v>
      </c>
      <c r="N18">
        <f t="shared" si="5"/>
        <v>120</v>
      </c>
      <c r="O18">
        <f t="shared" si="6"/>
        <v>120</v>
      </c>
      <c r="P18" s="6">
        <f t="shared" si="7"/>
        <v>-20</v>
      </c>
    </row>
    <row r="19" spans="2:17" x14ac:dyDescent="0.15">
      <c r="B19" s="16" t="s">
        <v>28</v>
      </c>
      <c r="C19" s="19"/>
      <c r="D19" s="27"/>
      <c r="E19" s="21"/>
      <c r="F19" s="14">
        <f t="shared" si="3"/>
        <v>0</v>
      </c>
      <c r="H19" s="5">
        <v>2.6</v>
      </c>
      <c r="I19" s="5">
        <f>IF(E19&lt;0.8*H19,L19,Q19)</f>
        <v>7</v>
      </c>
      <c r="J19" s="5">
        <v>1.7</v>
      </c>
      <c r="K19" s="5">
        <v>3.5</v>
      </c>
      <c r="L19" s="5">
        <v>7</v>
      </c>
      <c r="M19">
        <f t="shared" si="4"/>
        <v>0</v>
      </c>
      <c r="N19">
        <f t="shared" si="5"/>
        <v>260</v>
      </c>
      <c r="O19">
        <f t="shared" si="6"/>
        <v>260</v>
      </c>
      <c r="P19" s="6">
        <f>IF(E19&lt;0.8*H19,1000-((N19-0.8*N19)*K19+(O19-(N19-N19*0.8))*L19),1000-O19*I19)</f>
        <v>-638</v>
      </c>
      <c r="Q19" s="5">
        <f>IF(E19&gt;H19,J19,K19)</f>
        <v>3.5</v>
      </c>
    </row>
    <row r="20" spans="2:17" x14ac:dyDescent="0.15">
      <c r="B20" s="16" t="s">
        <v>11</v>
      </c>
      <c r="C20" s="19"/>
      <c r="D20" s="27"/>
      <c r="E20" s="21"/>
      <c r="F20" s="14">
        <f t="shared" si="3"/>
        <v>0</v>
      </c>
      <c r="H20" s="5">
        <v>4.95</v>
      </c>
      <c r="I20" s="5">
        <v>2</v>
      </c>
      <c r="J20" s="5"/>
      <c r="M20">
        <f t="shared" si="4"/>
        <v>0</v>
      </c>
      <c r="N20">
        <f t="shared" si="5"/>
        <v>495</v>
      </c>
      <c r="O20">
        <f t="shared" si="6"/>
        <v>495</v>
      </c>
      <c r="P20" s="6">
        <f t="shared" si="7"/>
        <v>10</v>
      </c>
    </row>
    <row r="21" spans="2:17" x14ac:dyDescent="0.15">
      <c r="B21" s="16" t="s">
        <v>29</v>
      </c>
      <c r="C21" s="19"/>
      <c r="D21" s="27"/>
      <c r="E21" s="21"/>
      <c r="F21" s="14">
        <f t="shared" si="3"/>
        <v>0</v>
      </c>
      <c r="H21" s="5">
        <v>2.4500000000000002</v>
      </c>
      <c r="I21" s="5">
        <v>5</v>
      </c>
      <c r="J21" s="5"/>
      <c r="M21">
        <f t="shared" si="4"/>
        <v>0</v>
      </c>
      <c r="N21">
        <f t="shared" si="5"/>
        <v>245.00000000000003</v>
      </c>
      <c r="O21">
        <f t="shared" si="6"/>
        <v>245.00000000000003</v>
      </c>
      <c r="P21" s="6">
        <f t="shared" si="7"/>
        <v>-225.00000000000023</v>
      </c>
    </row>
    <row r="22" spans="2:17" x14ac:dyDescent="0.15">
      <c r="B22" s="16" t="s">
        <v>30</v>
      </c>
      <c r="C22" s="20"/>
      <c r="D22" s="27"/>
      <c r="E22" s="21"/>
      <c r="F22" s="14">
        <f t="shared" si="3"/>
        <v>0</v>
      </c>
      <c r="H22" s="5">
        <v>10.1</v>
      </c>
      <c r="I22" s="5">
        <v>1</v>
      </c>
      <c r="J22" s="5"/>
      <c r="M22">
        <f t="shared" si="4"/>
        <v>0</v>
      </c>
      <c r="N22">
        <f t="shared" si="5"/>
        <v>1010</v>
      </c>
      <c r="O22">
        <f t="shared" si="6"/>
        <v>1010</v>
      </c>
      <c r="P22" s="6">
        <f t="shared" si="7"/>
        <v>-10</v>
      </c>
    </row>
    <row r="23" spans="2:17" x14ac:dyDescent="0.15">
      <c r="B23" s="16" t="s">
        <v>86</v>
      </c>
      <c r="C23" s="31" t="s">
        <v>99</v>
      </c>
      <c r="D23" s="27"/>
      <c r="E23" s="21"/>
      <c r="F23" s="14">
        <f t="shared" si="3"/>
        <v>0</v>
      </c>
      <c r="H23" s="5">
        <v>11.3</v>
      </c>
      <c r="I23" s="5">
        <f t="shared" ref="I23:I28" si="8">IF(E23&lt;0.8*H23,L23,Q23)</f>
        <v>1.2</v>
      </c>
      <c r="J23" s="5">
        <v>0.3</v>
      </c>
      <c r="K23" s="5">
        <v>0.6</v>
      </c>
      <c r="L23" s="5">
        <v>1.2</v>
      </c>
      <c r="M23">
        <f t="shared" si="4"/>
        <v>0</v>
      </c>
      <c r="N23">
        <f t="shared" si="5"/>
        <v>1130</v>
      </c>
      <c r="O23">
        <f t="shared" si="6"/>
        <v>1130</v>
      </c>
      <c r="P23" s="6">
        <f t="shared" ref="P23:P28" si="9">IF(E23&lt;0.8*H23,1000-((N23-0.8*N23)*K23+(O23-(N23-N23*0.8))*L23),1000-O23*I23)</f>
        <v>-220.39999999999986</v>
      </c>
      <c r="Q23" s="5">
        <f t="shared" ref="Q23:Q28" si="10">IF(E23&gt;H23,J23,K23)</f>
        <v>0.6</v>
      </c>
    </row>
    <row r="24" spans="2:17" x14ac:dyDescent="0.15">
      <c r="B24" s="16" t="s">
        <v>87</v>
      </c>
      <c r="C24" s="31" t="s">
        <v>100</v>
      </c>
      <c r="D24" s="27"/>
      <c r="E24" s="21"/>
      <c r="F24" s="14">
        <f t="shared" si="3"/>
        <v>0</v>
      </c>
      <c r="H24" s="5">
        <v>32</v>
      </c>
      <c r="I24" s="5">
        <f t="shared" si="8"/>
        <v>0.5</v>
      </c>
      <c r="J24" s="5">
        <v>0.13</v>
      </c>
      <c r="K24" s="5">
        <v>0.25</v>
      </c>
      <c r="L24" s="5">
        <v>0.5</v>
      </c>
      <c r="M24">
        <f t="shared" si="4"/>
        <v>0</v>
      </c>
      <c r="N24">
        <f t="shared" si="5"/>
        <v>3200</v>
      </c>
      <c r="O24">
        <f t="shared" si="6"/>
        <v>3200</v>
      </c>
      <c r="P24" s="6">
        <f t="shared" si="9"/>
        <v>-440</v>
      </c>
      <c r="Q24" s="5">
        <f t="shared" si="10"/>
        <v>0.25</v>
      </c>
    </row>
    <row r="25" spans="2:17" x14ac:dyDescent="0.15">
      <c r="B25" s="16" t="s">
        <v>88</v>
      </c>
      <c r="C25" s="31" t="s">
        <v>148</v>
      </c>
      <c r="D25" s="27"/>
      <c r="E25" s="21"/>
      <c r="F25" s="14">
        <f t="shared" si="3"/>
        <v>0</v>
      </c>
      <c r="H25" s="5">
        <v>38</v>
      </c>
      <c r="I25" s="5">
        <f t="shared" si="8"/>
        <v>0.4</v>
      </c>
      <c r="J25" s="5">
        <v>0.1</v>
      </c>
      <c r="K25" s="5">
        <v>0.2</v>
      </c>
      <c r="L25" s="5">
        <v>0.4</v>
      </c>
      <c r="M25">
        <f t="shared" si="4"/>
        <v>0</v>
      </c>
      <c r="N25">
        <f t="shared" si="5"/>
        <v>3800</v>
      </c>
      <c r="O25">
        <f t="shared" si="6"/>
        <v>3800</v>
      </c>
      <c r="P25" s="6">
        <f t="shared" si="9"/>
        <v>-368</v>
      </c>
      <c r="Q25" s="5">
        <f t="shared" si="10"/>
        <v>0.2</v>
      </c>
    </row>
    <row r="26" spans="2:17" x14ac:dyDescent="0.15">
      <c r="B26" s="16" t="s">
        <v>89</v>
      </c>
      <c r="C26" s="31" t="s">
        <v>96</v>
      </c>
      <c r="D26" s="27"/>
      <c r="E26" s="21"/>
      <c r="F26" s="14">
        <f t="shared" si="3"/>
        <v>0</v>
      </c>
      <c r="H26" s="5">
        <v>38</v>
      </c>
      <c r="I26" s="5">
        <f t="shared" si="8"/>
        <v>0.4</v>
      </c>
      <c r="J26" s="5">
        <v>0.1</v>
      </c>
      <c r="K26" s="5">
        <v>0.2</v>
      </c>
      <c r="L26" s="5">
        <v>0.4</v>
      </c>
      <c r="M26">
        <f t="shared" si="4"/>
        <v>0</v>
      </c>
      <c r="N26">
        <f t="shared" si="5"/>
        <v>3800</v>
      </c>
      <c r="O26">
        <f t="shared" si="6"/>
        <v>3800</v>
      </c>
      <c r="P26" s="6">
        <f t="shared" si="9"/>
        <v>-368</v>
      </c>
      <c r="Q26" s="5">
        <f t="shared" si="10"/>
        <v>0.2</v>
      </c>
    </row>
    <row r="27" spans="2:17" x14ac:dyDescent="0.15">
      <c r="B27" s="16" t="s">
        <v>90</v>
      </c>
      <c r="C27" s="31" t="s">
        <v>101</v>
      </c>
      <c r="D27" s="27"/>
      <c r="E27" s="21"/>
      <c r="F27" s="14">
        <f t="shared" si="3"/>
        <v>0</v>
      </c>
      <c r="H27" s="5">
        <v>63</v>
      </c>
      <c r="I27" s="5">
        <f t="shared" si="8"/>
        <v>0.3</v>
      </c>
      <c r="J27" s="5">
        <v>0.08</v>
      </c>
      <c r="K27" s="5">
        <v>0.15</v>
      </c>
      <c r="L27" s="5">
        <v>0.3</v>
      </c>
      <c r="M27">
        <f t="shared" si="4"/>
        <v>0</v>
      </c>
      <c r="N27">
        <f t="shared" si="5"/>
        <v>6300</v>
      </c>
      <c r="O27">
        <f t="shared" si="6"/>
        <v>6300</v>
      </c>
      <c r="P27" s="6">
        <f t="shared" si="9"/>
        <v>-701</v>
      </c>
      <c r="Q27" s="5">
        <f t="shared" si="10"/>
        <v>0.15</v>
      </c>
    </row>
    <row r="28" spans="2:17" x14ac:dyDescent="0.15">
      <c r="B28" s="16" t="s">
        <v>92</v>
      </c>
      <c r="C28" s="31" t="s">
        <v>85</v>
      </c>
      <c r="D28" s="30"/>
      <c r="E28" s="21"/>
      <c r="F28" s="14">
        <f t="shared" si="3"/>
        <v>0</v>
      </c>
      <c r="H28" s="5">
        <v>36</v>
      </c>
      <c r="I28" s="5">
        <f t="shared" si="8"/>
        <v>0.3</v>
      </c>
      <c r="J28" s="5">
        <v>0.08</v>
      </c>
      <c r="K28" s="5">
        <v>0.15</v>
      </c>
      <c r="L28" s="5">
        <v>0.3</v>
      </c>
      <c r="M28">
        <f t="shared" si="4"/>
        <v>0</v>
      </c>
      <c r="N28">
        <f t="shared" si="5"/>
        <v>3600</v>
      </c>
      <c r="O28">
        <f t="shared" si="6"/>
        <v>3600</v>
      </c>
      <c r="P28" s="6">
        <f t="shared" si="9"/>
        <v>28</v>
      </c>
      <c r="Q28" s="5">
        <f t="shared" si="10"/>
        <v>0.15</v>
      </c>
    </row>
    <row r="30" spans="2:17" x14ac:dyDescent="0.15">
      <c r="B30" s="60" t="s">
        <v>47</v>
      </c>
      <c r="C30" s="60"/>
      <c r="D30" s="60"/>
      <c r="E30" s="60"/>
      <c r="F30" s="60"/>
    </row>
    <row r="31" spans="2:17" x14ac:dyDescent="0.15">
      <c r="B31" s="60" t="s">
        <v>36</v>
      </c>
      <c r="C31" s="60"/>
      <c r="D31" s="60"/>
      <c r="E31" s="60"/>
      <c r="F31" s="60"/>
    </row>
    <row r="32" spans="2:17" x14ac:dyDescent="0.15">
      <c r="B32" s="60" t="s">
        <v>35</v>
      </c>
      <c r="C32" s="60"/>
      <c r="D32" s="60"/>
      <c r="E32" s="60"/>
      <c r="F32" s="60"/>
    </row>
    <row r="34" spans="2:6" ht="16" x14ac:dyDescent="0.2">
      <c r="B34" s="58" t="s">
        <v>146</v>
      </c>
      <c r="C34" s="59"/>
      <c r="D34" s="59"/>
      <c r="E34" s="59"/>
      <c r="F34" s="59"/>
    </row>
  </sheetData>
  <sheetProtection password="CCED" sheet="1" selectLockedCells="1"/>
  <mergeCells count="6">
    <mergeCell ref="D4:E4"/>
    <mergeCell ref="B34:F34"/>
    <mergeCell ref="B4:C4"/>
    <mergeCell ref="B30:F30"/>
    <mergeCell ref="B31:F31"/>
    <mergeCell ref="B32:F32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0"/>
  </sheetPr>
  <dimension ref="A1:Q34"/>
  <sheetViews>
    <sheetView showGridLines="0" showRowColHeaders="0" showOutlineSymbols="0" workbookViewId="0">
      <selection activeCell="E25" sqref="E25"/>
    </sheetView>
  </sheetViews>
  <sheetFormatPr baseColWidth="10" defaultColWidth="8.83203125" defaultRowHeight="13" x14ac:dyDescent="0.15"/>
  <cols>
    <col min="1" max="1" width="11.5" customWidth="1"/>
    <col min="2" max="2" width="16.1640625" customWidth="1"/>
    <col min="3" max="3" width="12.83203125" customWidth="1"/>
    <col min="4" max="6" width="11.5" customWidth="1"/>
    <col min="7" max="7" width="5.33203125" customWidth="1"/>
    <col min="8" max="8" width="9.5" hidden="1" customWidth="1"/>
    <col min="9" max="9" width="8" hidden="1" customWidth="1"/>
    <col min="10" max="10" width="8.6640625" hidden="1" customWidth="1"/>
    <col min="11" max="11" width="7.6640625" hidden="1" customWidth="1"/>
    <col min="12" max="12" width="7.33203125" hidden="1" customWidth="1"/>
    <col min="13" max="13" width="6.33203125" hidden="1" customWidth="1"/>
    <col min="14" max="14" width="6.6640625" hidden="1" customWidth="1"/>
    <col min="15" max="15" width="6.5" hidden="1" customWidth="1"/>
    <col min="16" max="16" width="13.33203125" hidden="1" customWidth="1"/>
    <col min="17" max="17" width="6.332031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74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61" t="s">
        <v>1</v>
      </c>
      <c r="E4" s="61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9" t="s">
        <v>32</v>
      </c>
      <c r="E5" s="39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5" t="s">
        <v>8</v>
      </c>
      <c r="C6" s="19"/>
      <c r="D6" s="27"/>
      <c r="E6" s="22"/>
      <c r="F6" s="14">
        <f t="shared" ref="F6:F15" si="0">IF(P6&lt;0,0,IF(E6=0,0,ROUNDDOWN(P6,0)))</f>
        <v>0</v>
      </c>
      <c r="H6" s="5">
        <v>8.5500000000000007</v>
      </c>
      <c r="I6" s="5">
        <v>2.7</v>
      </c>
      <c r="J6" s="5"/>
      <c r="M6">
        <f>E6*100</f>
        <v>0</v>
      </c>
      <c r="N6">
        <f>H6*100</f>
        <v>855.00000000000011</v>
      </c>
      <c r="O6">
        <f t="shared" ref="O6:O15" si="1">N6-M6</f>
        <v>855.00000000000011</v>
      </c>
      <c r="P6" s="6">
        <f t="shared" ref="P6:P15" si="2">1000+O6*I6</f>
        <v>3308.5000000000005</v>
      </c>
    </row>
    <row r="7" spans="1:17" x14ac:dyDescent="0.15">
      <c r="B7" s="16" t="s">
        <v>69</v>
      </c>
      <c r="C7" s="19"/>
      <c r="D7" s="27"/>
      <c r="E7" s="21"/>
      <c r="F7" s="14">
        <f t="shared" si="0"/>
        <v>0</v>
      </c>
      <c r="H7" s="5">
        <v>11.1</v>
      </c>
      <c r="I7" s="5">
        <v>2.1</v>
      </c>
      <c r="J7" s="5"/>
      <c r="M7">
        <f>E7*100</f>
        <v>0</v>
      </c>
      <c r="N7">
        <f>H7*100</f>
        <v>1110</v>
      </c>
      <c r="O7">
        <f t="shared" si="1"/>
        <v>1110</v>
      </c>
      <c r="P7" s="6">
        <f t="shared" si="2"/>
        <v>3331</v>
      </c>
    </row>
    <row r="8" spans="1:17" x14ac:dyDescent="0.15">
      <c r="B8" s="16" t="s">
        <v>13</v>
      </c>
      <c r="C8" s="19"/>
      <c r="D8" s="27"/>
      <c r="E8" s="21"/>
      <c r="F8" s="14">
        <f>IF(P8&lt;0,0,IF(E8=0,0,ROUNDDOWN(P8,0)))</f>
        <v>0</v>
      </c>
      <c r="H8" s="5">
        <v>13.8</v>
      </c>
      <c r="I8" s="5">
        <v>1.6</v>
      </c>
      <c r="J8" s="5"/>
      <c r="M8">
        <f>E8*100</f>
        <v>0</v>
      </c>
      <c r="N8">
        <f>H8*100</f>
        <v>1380</v>
      </c>
      <c r="O8">
        <f>N8-M8</f>
        <v>1380</v>
      </c>
      <c r="P8" s="6">
        <f>1000+O8*I8</f>
        <v>3208</v>
      </c>
    </row>
    <row r="9" spans="1:17" x14ac:dyDescent="0.15">
      <c r="B9" s="16" t="s">
        <v>14</v>
      </c>
      <c r="C9" s="19"/>
      <c r="D9" s="27"/>
      <c r="E9" s="21"/>
      <c r="F9" s="14">
        <f t="shared" si="0"/>
        <v>0</v>
      </c>
      <c r="H9" s="5">
        <v>28.5</v>
      </c>
      <c r="I9" s="5">
        <v>0.78</v>
      </c>
      <c r="J9" s="5"/>
      <c r="M9">
        <f>E9*100</f>
        <v>0</v>
      </c>
      <c r="N9">
        <f>H9*100</f>
        <v>2850</v>
      </c>
      <c r="O9">
        <f t="shared" si="1"/>
        <v>2850</v>
      </c>
      <c r="P9" s="6">
        <f t="shared" si="2"/>
        <v>3223</v>
      </c>
    </row>
    <row r="10" spans="1:17" x14ac:dyDescent="0.15">
      <c r="B10" s="16" t="s">
        <v>15</v>
      </c>
      <c r="C10" s="19"/>
      <c r="D10" s="30"/>
      <c r="E10" s="21"/>
      <c r="F10" s="14">
        <f>IF(P10&lt;0,0,IF(E10=0,0,ROUNDDOWN(P10,0)))</f>
        <v>0</v>
      </c>
      <c r="H10" s="5">
        <v>45.8</v>
      </c>
      <c r="I10" s="5">
        <v>0.5</v>
      </c>
      <c r="J10" s="5"/>
      <c r="M10">
        <f>E10*100</f>
        <v>0</v>
      </c>
      <c r="N10">
        <f>H10*100</f>
        <v>4580</v>
      </c>
      <c r="O10">
        <f>N10-M10</f>
        <v>4580</v>
      </c>
      <c r="P10" s="6">
        <f>1000+O10*I10</f>
        <v>3290</v>
      </c>
    </row>
    <row r="11" spans="1:17" x14ac:dyDescent="0.15">
      <c r="B11" s="15" t="s">
        <v>9</v>
      </c>
      <c r="C11" s="19"/>
      <c r="D11" s="23"/>
      <c r="E11" s="22"/>
      <c r="F11" s="14">
        <f>IF(P11&lt;0,0,IF(AND(E11=0,D11=0),0,ROUNDDOWN(P11,0)))</f>
        <v>0</v>
      </c>
      <c r="H11" s="5">
        <v>105</v>
      </c>
      <c r="I11" s="5">
        <v>2.4</v>
      </c>
      <c r="J11" s="5"/>
      <c r="M11">
        <f>(D11*60+E11)*10</f>
        <v>0</v>
      </c>
      <c r="N11">
        <f>H11*10</f>
        <v>1050</v>
      </c>
      <c r="O11">
        <f t="shared" si="1"/>
        <v>1050</v>
      </c>
      <c r="P11" s="6">
        <f t="shared" si="2"/>
        <v>3520</v>
      </c>
    </row>
    <row r="12" spans="1:17" x14ac:dyDescent="0.15">
      <c r="B12" s="15" t="s">
        <v>18</v>
      </c>
      <c r="C12" s="20"/>
      <c r="D12" s="24"/>
      <c r="E12" s="22"/>
      <c r="F12" s="14">
        <f>IF(P12&lt;0,0,IF(AND(E12=0,D12=0),0,ROUNDDOWN(P12,0)))</f>
        <v>0</v>
      </c>
      <c r="H12" s="5">
        <v>315</v>
      </c>
      <c r="I12" s="5">
        <v>0.6</v>
      </c>
      <c r="J12" s="5"/>
      <c r="M12">
        <f>(D12*60+E12)*10</f>
        <v>0</v>
      </c>
      <c r="N12">
        <f>H12*10</f>
        <v>3150</v>
      </c>
      <c r="O12">
        <f t="shared" si="1"/>
        <v>3150</v>
      </c>
      <c r="P12" s="6">
        <f t="shared" si="2"/>
        <v>2890</v>
      </c>
    </row>
    <row r="13" spans="1:17" x14ac:dyDescent="0.15">
      <c r="B13" s="16" t="s">
        <v>17</v>
      </c>
      <c r="C13" s="48" t="s">
        <v>137</v>
      </c>
      <c r="D13" s="24"/>
      <c r="E13" s="21"/>
      <c r="F13" s="14">
        <f>IF(P13&lt;0,0,IF(AND(E13=0,D13=0),0,ROUNDDOWN(P13,0)))</f>
        <v>0</v>
      </c>
      <c r="H13" s="5">
        <v>303</v>
      </c>
      <c r="I13" s="5">
        <v>0.7</v>
      </c>
      <c r="J13" s="5"/>
      <c r="M13">
        <f>(D13*60+E13)*10</f>
        <v>0</v>
      </c>
      <c r="N13">
        <f>H13*10</f>
        <v>3030</v>
      </c>
      <c r="O13">
        <f>N13-M13</f>
        <v>3030</v>
      </c>
      <c r="P13" s="6">
        <f>1000+O13*I13</f>
        <v>3121</v>
      </c>
    </row>
    <row r="14" spans="1:17" x14ac:dyDescent="0.15">
      <c r="B14" s="16" t="s">
        <v>79</v>
      </c>
      <c r="C14" s="31" t="s">
        <v>139</v>
      </c>
      <c r="D14" s="29"/>
      <c r="E14" s="21"/>
      <c r="F14" s="14">
        <f t="shared" si="0"/>
        <v>0</v>
      </c>
      <c r="H14" s="5">
        <v>10.5</v>
      </c>
      <c r="I14" s="5">
        <v>1.9</v>
      </c>
      <c r="J14" s="5"/>
      <c r="M14">
        <f>E14*100</f>
        <v>0</v>
      </c>
      <c r="N14">
        <f>H14*100</f>
        <v>1050</v>
      </c>
      <c r="O14">
        <f t="shared" si="1"/>
        <v>1050</v>
      </c>
      <c r="P14" s="6">
        <f t="shared" si="2"/>
        <v>2995</v>
      </c>
    </row>
    <row r="15" spans="1:17" x14ac:dyDescent="0.15">
      <c r="B15" s="16" t="s">
        <v>81</v>
      </c>
      <c r="C15" s="31" t="s">
        <v>80</v>
      </c>
      <c r="D15" s="30"/>
      <c r="E15" s="21"/>
      <c r="F15" s="14">
        <f t="shared" si="0"/>
        <v>0</v>
      </c>
      <c r="H15" s="5">
        <v>34</v>
      </c>
      <c r="I15" s="5">
        <v>0.5</v>
      </c>
      <c r="J15" s="5"/>
      <c r="M15">
        <f>E15*100</f>
        <v>0</v>
      </c>
      <c r="N15">
        <f>H15*100</f>
        <v>3400</v>
      </c>
      <c r="O15">
        <f t="shared" si="1"/>
        <v>3400</v>
      </c>
      <c r="P15" s="6">
        <f t="shared" si="2"/>
        <v>2700</v>
      </c>
    </row>
    <row r="16" spans="1:17" ht="16" x14ac:dyDescent="0.2">
      <c r="B16" s="7"/>
      <c r="C16" s="7"/>
      <c r="D16" s="7"/>
      <c r="E16" s="39" t="s">
        <v>34</v>
      </c>
      <c r="F16" s="4"/>
      <c r="G16" s="4"/>
      <c r="H16" s="8"/>
      <c r="I16" s="8"/>
      <c r="J16" s="8"/>
      <c r="K16" s="4"/>
      <c r="L16" s="4"/>
      <c r="M16" s="4"/>
      <c r="N16" s="4"/>
      <c r="O16" s="4"/>
      <c r="P16" s="4"/>
      <c r="Q16" s="4"/>
    </row>
    <row r="17" spans="2:17" x14ac:dyDescent="0.15">
      <c r="B17" s="16" t="s">
        <v>10</v>
      </c>
      <c r="C17" s="18"/>
      <c r="D17" s="26"/>
      <c r="E17" s="21"/>
      <c r="F17" s="14">
        <f t="shared" ref="F17:F28" si="3">IF(P17&lt;0,0,IF(E17=0,0,ROUNDDOWN(P17,0)))</f>
        <v>0</v>
      </c>
      <c r="H17" s="5">
        <v>1.44</v>
      </c>
      <c r="I17" s="5">
        <v>7.5</v>
      </c>
      <c r="J17" s="5"/>
      <c r="M17">
        <f t="shared" ref="M17:M28" si="4">E17*100</f>
        <v>0</v>
      </c>
      <c r="N17">
        <f t="shared" ref="N17:N28" si="5">H17*100</f>
        <v>144</v>
      </c>
      <c r="O17">
        <f t="shared" ref="O17:O28" si="6">N17-M17</f>
        <v>144</v>
      </c>
      <c r="P17" s="6">
        <f t="shared" ref="P17:P22" si="7">1000-O17*I17</f>
        <v>-80</v>
      </c>
    </row>
    <row r="18" spans="2:17" x14ac:dyDescent="0.15">
      <c r="B18" s="16" t="s">
        <v>27</v>
      </c>
      <c r="C18" s="19"/>
      <c r="D18" s="27"/>
      <c r="E18" s="21"/>
      <c r="F18" s="14">
        <f t="shared" si="3"/>
        <v>0</v>
      </c>
      <c r="H18" s="5">
        <v>1.2</v>
      </c>
      <c r="I18" s="5">
        <v>9.5</v>
      </c>
      <c r="J18" s="5"/>
      <c r="M18">
        <f t="shared" si="4"/>
        <v>0</v>
      </c>
      <c r="N18">
        <f t="shared" si="5"/>
        <v>120</v>
      </c>
      <c r="O18">
        <f t="shared" si="6"/>
        <v>120</v>
      </c>
      <c r="P18" s="6">
        <f t="shared" si="7"/>
        <v>-140</v>
      </c>
    </row>
    <row r="19" spans="2:17" x14ac:dyDescent="0.15">
      <c r="B19" s="16" t="s">
        <v>28</v>
      </c>
      <c r="C19" s="19"/>
      <c r="D19" s="27"/>
      <c r="E19" s="21"/>
      <c r="F19" s="14">
        <f t="shared" si="3"/>
        <v>0</v>
      </c>
      <c r="H19" s="5">
        <v>2.2000000000000002</v>
      </c>
      <c r="I19" s="5">
        <f>IF(E19&lt;0.8*H19,L19,Q19)</f>
        <v>8</v>
      </c>
      <c r="J19" s="5">
        <v>2</v>
      </c>
      <c r="K19" s="5">
        <v>4</v>
      </c>
      <c r="L19" s="5">
        <v>8</v>
      </c>
      <c r="M19">
        <f t="shared" si="4"/>
        <v>0</v>
      </c>
      <c r="N19">
        <f t="shared" si="5"/>
        <v>220.00000000000003</v>
      </c>
      <c r="O19">
        <f t="shared" si="6"/>
        <v>220.00000000000003</v>
      </c>
      <c r="P19" s="6">
        <f>IF(E19&lt;0.8*H19,1000-((N19-0.8*N19)*K19+(O19-(N19-N19*0.8))*L19),1000-O19*I19)</f>
        <v>-584.00000000000023</v>
      </c>
      <c r="Q19" s="5">
        <f>IF(E19&gt;H19,J19,K19)</f>
        <v>4</v>
      </c>
    </row>
    <row r="20" spans="2:17" x14ac:dyDescent="0.15">
      <c r="B20" s="16" t="s">
        <v>11</v>
      </c>
      <c r="C20" s="19"/>
      <c r="D20" s="27"/>
      <c r="E20" s="21"/>
      <c r="F20" s="14">
        <f t="shared" si="3"/>
        <v>0</v>
      </c>
      <c r="H20" s="5">
        <v>4.7</v>
      </c>
      <c r="I20" s="5">
        <v>2.1</v>
      </c>
      <c r="J20" s="5"/>
      <c r="M20">
        <f t="shared" si="4"/>
        <v>0</v>
      </c>
      <c r="N20">
        <f t="shared" si="5"/>
        <v>470</v>
      </c>
      <c r="O20">
        <f t="shared" si="6"/>
        <v>470</v>
      </c>
      <c r="P20" s="6">
        <f t="shared" si="7"/>
        <v>13</v>
      </c>
    </row>
    <row r="21" spans="2:17" x14ac:dyDescent="0.15">
      <c r="B21" s="16" t="s">
        <v>29</v>
      </c>
      <c r="C21" s="19"/>
      <c r="D21" s="27"/>
      <c r="E21" s="21"/>
      <c r="F21" s="14">
        <f t="shared" si="3"/>
        <v>0</v>
      </c>
      <c r="H21" s="5">
        <v>2.2999999999999998</v>
      </c>
      <c r="I21" s="5">
        <v>6</v>
      </c>
      <c r="J21" s="5"/>
      <c r="M21">
        <f t="shared" si="4"/>
        <v>0</v>
      </c>
      <c r="N21">
        <f t="shared" si="5"/>
        <v>229.99999999999997</v>
      </c>
      <c r="O21">
        <f t="shared" si="6"/>
        <v>229.99999999999997</v>
      </c>
      <c r="P21" s="6">
        <f t="shared" si="7"/>
        <v>-379.99999999999977</v>
      </c>
    </row>
    <row r="22" spans="2:17" x14ac:dyDescent="0.15">
      <c r="B22" s="16" t="s">
        <v>30</v>
      </c>
      <c r="C22" s="20"/>
      <c r="D22" s="27"/>
      <c r="E22" s="21"/>
      <c r="F22" s="14">
        <f t="shared" si="3"/>
        <v>0</v>
      </c>
      <c r="H22" s="5">
        <v>9.5</v>
      </c>
      <c r="I22" s="5">
        <v>1</v>
      </c>
      <c r="J22" s="5"/>
      <c r="M22">
        <f t="shared" si="4"/>
        <v>0</v>
      </c>
      <c r="N22">
        <f t="shared" si="5"/>
        <v>950</v>
      </c>
      <c r="O22">
        <f t="shared" si="6"/>
        <v>950</v>
      </c>
      <c r="P22" s="6">
        <f t="shared" si="7"/>
        <v>50</v>
      </c>
    </row>
    <row r="23" spans="2:17" x14ac:dyDescent="0.15">
      <c r="B23" s="16" t="s">
        <v>86</v>
      </c>
      <c r="C23" s="31" t="s">
        <v>94</v>
      </c>
      <c r="D23" s="27"/>
      <c r="E23" s="21"/>
      <c r="F23" s="14">
        <f t="shared" si="3"/>
        <v>0</v>
      </c>
      <c r="H23" s="5">
        <v>10.199999999999999</v>
      </c>
      <c r="I23" s="5">
        <f t="shared" ref="I23:I28" si="8">IF(E23&lt;0.8*H23,L23,Q23)</f>
        <v>1.2</v>
      </c>
      <c r="J23" s="5">
        <v>0.3</v>
      </c>
      <c r="K23" s="5">
        <v>0.6</v>
      </c>
      <c r="L23" s="5">
        <v>1.2</v>
      </c>
      <c r="M23">
        <f t="shared" si="4"/>
        <v>0</v>
      </c>
      <c r="N23">
        <f t="shared" si="5"/>
        <v>1019.9999999999999</v>
      </c>
      <c r="O23">
        <f t="shared" si="6"/>
        <v>1019.9999999999999</v>
      </c>
      <c r="P23" s="6">
        <f t="shared" ref="P23:P28" si="9">IF(E23&lt;0.8*H23,1000-((N23-0.8*N23)*K23+(O23-(N23-N23*0.8))*L23),1000-O23*I23)</f>
        <v>-101.59999999999991</v>
      </c>
      <c r="Q23" s="5">
        <f t="shared" ref="Q23:Q28" si="10">IF(E23&gt;H23,J23,K23)</f>
        <v>0.6</v>
      </c>
    </row>
    <row r="24" spans="2:17" x14ac:dyDescent="0.15">
      <c r="B24" s="16" t="s">
        <v>87</v>
      </c>
      <c r="C24" s="31" t="s">
        <v>95</v>
      </c>
      <c r="D24" s="27"/>
      <c r="E24" s="21"/>
      <c r="F24" s="14">
        <f t="shared" si="3"/>
        <v>0</v>
      </c>
      <c r="H24" s="5">
        <v>32</v>
      </c>
      <c r="I24" s="5">
        <f t="shared" si="8"/>
        <v>0.6</v>
      </c>
      <c r="J24" s="5">
        <v>0.15</v>
      </c>
      <c r="K24" s="5">
        <v>0.3</v>
      </c>
      <c r="L24" s="5">
        <v>0.6</v>
      </c>
      <c r="M24">
        <f t="shared" si="4"/>
        <v>0</v>
      </c>
      <c r="N24">
        <f t="shared" si="5"/>
        <v>3200</v>
      </c>
      <c r="O24">
        <f t="shared" si="6"/>
        <v>3200</v>
      </c>
      <c r="P24" s="6">
        <f t="shared" si="9"/>
        <v>-728</v>
      </c>
      <c r="Q24" s="5">
        <f t="shared" si="10"/>
        <v>0.3</v>
      </c>
    </row>
    <row r="25" spans="2:17" x14ac:dyDescent="0.15">
      <c r="B25" s="16" t="s">
        <v>88</v>
      </c>
      <c r="C25" s="31" t="s">
        <v>148</v>
      </c>
      <c r="D25" s="27"/>
      <c r="E25" s="21"/>
      <c r="F25" s="14">
        <f t="shared" si="3"/>
        <v>0</v>
      </c>
      <c r="H25" s="5">
        <v>33</v>
      </c>
      <c r="I25" s="5">
        <f t="shared" si="8"/>
        <v>0.5</v>
      </c>
      <c r="J25" s="5">
        <v>0.12</v>
      </c>
      <c r="K25" s="5">
        <v>0.25</v>
      </c>
      <c r="L25" s="5">
        <v>0.5</v>
      </c>
      <c r="M25">
        <f t="shared" si="4"/>
        <v>0</v>
      </c>
      <c r="N25">
        <f t="shared" si="5"/>
        <v>3300</v>
      </c>
      <c r="O25">
        <f t="shared" si="6"/>
        <v>3300</v>
      </c>
      <c r="P25" s="6">
        <f t="shared" si="9"/>
        <v>-485</v>
      </c>
      <c r="Q25" s="5">
        <f t="shared" si="10"/>
        <v>0.25</v>
      </c>
    </row>
    <row r="26" spans="2:17" x14ac:dyDescent="0.15">
      <c r="B26" s="16" t="s">
        <v>89</v>
      </c>
      <c r="C26" s="31" t="s">
        <v>96</v>
      </c>
      <c r="D26" s="27"/>
      <c r="E26" s="21"/>
      <c r="F26" s="14">
        <f t="shared" si="3"/>
        <v>0</v>
      </c>
      <c r="H26" s="5">
        <v>32</v>
      </c>
      <c r="I26" s="5">
        <f t="shared" si="8"/>
        <v>0.5</v>
      </c>
      <c r="J26" s="5">
        <v>0.13</v>
      </c>
      <c r="K26" s="5">
        <v>0.25</v>
      </c>
      <c r="L26" s="5">
        <v>0.5</v>
      </c>
      <c r="M26">
        <f t="shared" si="4"/>
        <v>0</v>
      </c>
      <c r="N26">
        <f t="shared" si="5"/>
        <v>3200</v>
      </c>
      <c r="O26">
        <f t="shared" si="6"/>
        <v>3200</v>
      </c>
      <c r="P26" s="6">
        <f t="shared" si="9"/>
        <v>-440</v>
      </c>
      <c r="Q26" s="5">
        <f t="shared" si="10"/>
        <v>0.25</v>
      </c>
    </row>
    <row r="27" spans="2:17" x14ac:dyDescent="0.15">
      <c r="B27" s="16" t="s">
        <v>90</v>
      </c>
      <c r="C27" s="31" t="s">
        <v>101</v>
      </c>
      <c r="D27" s="27"/>
      <c r="E27" s="21"/>
      <c r="F27" s="14">
        <f t="shared" si="3"/>
        <v>0</v>
      </c>
      <c r="H27" s="5">
        <v>50</v>
      </c>
      <c r="I27" s="5">
        <f t="shared" si="8"/>
        <v>0.4</v>
      </c>
      <c r="J27" s="5">
        <v>0.1</v>
      </c>
      <c r="K27" s="5">
        <v>0.2</v>
      </c>
      <c r="L27" s="5">
        <v>0.4</v>
      </c>
      <c r="M27">
        <f t="shared" si="4"/>
        <v>0</v>
      </c>
      <c r="N27">
        <f t="shared" si="5"/>
        <v>5000</v>
      </c>
      <c r="O27">
        <f t="shared" si="6"/>
        <v>5000</v>
      </c>
      <c r="P27" s="6">
        <f t="shared" si="9"/>
        <v>-800</v>
      </c>
      <c r="Q27" s="5">
        <f t="shared" si="10"/>
        <v>0.2</v>
      </c>
    </row>
    <row r="28" spans="2:17" x14ac:dyDescent="0.15">
      <c r="B28" s="16" t="s">
        <v>92</v>
      </c>
      <c r="C28" s="31" t="s">
        <v>85</v>
      </c>
      <c r="D28" s="30"/>
      <c r="E28" s="21"/>
      <c r="F28" s="14">
        <f t="shared" si="3"/>
        <v>0</v>
      </c>
      <c r="H28" s="5">
        <v>31</v>
      </c>
      <c r="I28" s="5">
        <f t="shared" si="8"/>
        <v>0.5</v>
      </c>
      <c r="J28" s="5">
        <v>0.13</v>
      </c>
      <c r="K28" s="5">
        <v>0.25</v>
      </c>
      <c r="L28" s="5">
        <v>0.5</v>
      </c>
      <c r="M28">
        <f t="shared" si="4"/>
        <v>0</v>
      </c>
      <c r="N28">
        <f t="shared" si="5"/>
        <v>3100</v>
      </c>
      <c r="O28">
        <f t="shared" si="6"/>
        <v>3100</v>
      </c>
      <c r="P28" s="6">
        <f t="shared" si="9"/>
        <v>-395</v>
      </c>
      <c r="Q28" s="5">
        <f t="shared" si="10"/>
        <v>0.25</v>
      </c>
    </row>
    <row r="30" spans="2:17" x14ac:dyDescent="0.15">
      <c r="B30" s="60" t="s">
        <v>47</v>
      </c>
      <c r="C30" s="60"/>
      <c r="D30" s="60"/>
      <c r="E30" s="60"/>
      <c r="F30" s="60"/>
    </row>
    <row r="31" spans="2:17" x14ac:dyDescent="0.15">
      <c r="B31" s="60" t="s">
        <v>36</v>
      </c>
      <c r="C31" s="60"/>
      <c r="D31" s="60"/>
      <c r="E31" s="60"/>
      <c r="F31" s="60"/>
    </row>
    <row r="32" spans="2:17" x14ac:dyDescent="0.15">
      <c r="B32" s="60" t="s">
        <v>35</v>
      </c>
      <c r="C32" s="60"/>
      <c r="D32" s="60"/>
      <c r="E32" s="60"/>
      <c r="F32" s="60"/>
    </row>
    <row r="34" spans="2:6" ht="16" x14ac:dyDescent="0.2">
      <c r="B34" s="58" t="s">
        <v>146</v>
      </c>
      <c r="C34" s="59"/>
      <c r="D34" s="59"/>
      <c r="E34" s="59"/>
      <c r="F34" s="59"/>
    </row>
  </sheetData>
  <sheetProtection password="CCED" sheet="1" selectLockedCells="1"/>
  <mergeCells count="6">
    <mergeCell ref="D4:E4"/>
    <mergeCell ref="B4:C4"/>
    <mergeCell ref="B34:F34"/>
    <mergeCell ref="B30:F30"/>
    <mergeCell ref="B31:F31"/>
    <mergeCell ref="B32:F32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12"/>
  </sheetPr>
  <dimension ref="A1:Q32"/>
  <sheetViews>
    <sheetView showGridLines="0" showRowColHeaders="0" showOutlineSymbols="0" workbookViewId="0">
      <selection activeCell="E23" sqref="E23"/>
    </sheetView>
  </sheetViews>
  <sheetFormatPr baseColWidth="10" defaultColWidth="8.83203125" defaultRowHeight="13" x14ac:dyDescent="0.15"/>
  <cols>
    <col min="1" max="1" width="11.5" customWidth="1"/>
    <col min="2" max="2" width="15.5" customWidth="1"/>
    <col min="3" max="3" width="14.1640625" customWidth="1"/>
    <col min="4" max="6" width="11.5" customWidth="1"/>
    <col min="7" max="7" width="4.5" customWidth="1"/>
    <col min="8" max="8" width="9.5" hidden="1" customWidth="1"/>
    <col min="9" max="9" width="8.33203125" hidden="1" customWidth="1"/>
    <col min="10" max="10" width="8.6640625" hidden="1" customWidth="1"/>
    <col min="11" max="11" width="8.1640625" hidden="1" customWidth="1"/>
    <col min="12" max="12" width="8" hidden="1" customWidth="1"/>
    <col min="13" max="13" width="5.83203125" hidden="1" customWidth="1"/>
    <col min="14" max="14" width="6.33203125" hidden="1" customWidth="1"/>
    <col min="15" max="15" width="6.83203125" hidden="1" customWidth="1"/>
    <col min="16" max="16" width="12.6640625" hidden="1" customWidth="1"/>
    <col min="17" max="17" width="6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75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56" t="s">
        <v>1</v>
      </c>
      <c r="E4" s="57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7" t="s">
        <v>32</v>
      </c>
      <c r="E5" s="38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6" t="s">
        <v>68</v>
      </c>
      <c r="C6" s="19"/>
      <c r="D6" s="27"/>
      <c r="E6" s="21"/>
      <c r="F6" s="14">
        <f t="shared" ref="F6:F13" si="0">IF(P6&lt;0,0,IF(E6=0,0,ROUNDDOWN(P6,0)))</f>
        <v>0</v>
      </c>
      <c r="H6" s="5">
        <v>6.4</v>
      </c>
      <c r="I6" s="5">
        <v>3.5</v>
      </c>
      <c r="J6" s="5"/>
      <c r="M6">
        <f>E6*100</f>
        <v>0</v>
      </c>
      <c r="N6">
        <f>H6*100</f>
        <v>640</v>
      </c>
      <c r="O6">
        <f>N6-M6</f>
        <v>640</v>
      </c>
      <c r="P6" s="6">
        <f>1000+O6*I6</f>
        <v>3240</v>
      </c>
    </row>
    <row r="7" spans="1:17" x14ac:dyDescent="0.15">
      <c r="B7" s="16" t="s">
        <v>8</v>
      </c>
      <c r="C7" s="19"/>
      <c r="D7" s="27"/>
      <c r="E7" s="21"/>
      <c r="F7" s="14">
        <f t="shared" si="0"/>
        <v>0</v>
      </c>
      <c r="H7" s="5">
        <v>8.8000000000000007</v>
      </c>
      <c r="I7" s="5">
        <v>2.7</v>
      </c>
      <c r="J7" s="5"/>
      <c r="M7">
        <f>E7*100</f>
        <v>0</v>
      </c>
      <c r="N7">
        <f>H7*100</f>
        <v>880.00000000000011</v>
      </c>
      <c r="O7">
        <f t="shared" ref="O7:O13" si="1">N7-M7</f>
        <v>880.00000000000011</v>
      </c>
      <c r="P7" s="6">
        <f t="shared" ref="P7:P13" si="2">1000+O7*I7</f>
        <v>3376.0000000000005</v>
      </c>
    </row>
    <row r="8" spans="1:17" x14ac:dyDescent="0.15">
      <c r="B8" s="16" t="s">
        <v>69</v>
      </c>
      <c r="C8" s="19"/>
      <c r="D8" s="27"/>
      <c r="E8" s="21"/>
      <c r="F8" s="14">
        <f t="shared" si="0"/>
        <v>0</v>
      </c>
      <c r="H8" s="5">
        <v>11.55</v>
      </c>
      <c r="I8" s="5">
        <v>2.2000000000000002</v>
      </c>
      <c r="J8" s="5"/>
      <c r="M8">
        <f>E8*100</f>
        <v>0</v>
      </c>
      <c r="N8">
        <f>H8*100</f>
        <v>1155</v>
      </c>
      <c r="O8">
        <f t="shared" si="1"/>
        <v>1155</v>
      </c>
      <c r="P8" s="6">
        <f t="shared" si="2"/>
        <v>3541</v>
      </c>
    </row>
    <row r="9" spans="1:17" x14ac:dyDescent="0.15">
      <c r="B9" s="16" t="s">
        <v>14</v>
      </c>
      <c r="C9" s="19"/>
      <c r="D9" s="30"/>
      <c r="E9" s="21"/>
      <c r="F9" s="14">
        <f t="shared" si="0"/>
        <v>0</v>
      </c>
      <c r="H9" s="5">
        <v>29.2</v>
      </c>
      <c r="I9" s="5">
        <v>0.85</v>
      </c>
      <c r="J9" s="5"/>
      <c r="M9">
        <f>E9*100</f>
        <v>0</v>
      </c>
      <c r="N9">
        <f>H9*100</f>
        <v>2920</v>
      </c>
      <c r="O9">
        <f t="shared" si="1"/>
        <v>2920</v>
      </c>
      <c r="P9" s="6">
        <f t="shared" si="2"/>
        <v>3482</v>
      </c>
    </row>
    <row r="10" spans="1:17" x14ac:dyDescent="0.15">
      <c r="B10" s="15" t="s">
        <v>9</v>
      </c>
      <c r="C10" s="19"/>
      <c r="D10" s="23"/>
      <c r="E10" s="22"/>
      <c r="F10" s="14">
        <f>IF(P10&lt;0,0,IF(AND(E10=0,D10=0),0,ROUNDDOWN(P10,0)))</f>
        <v>0</v>
      </c>
      <c r="H10" s="5">
        <v>105</v>
      </c>
      <c r="I10" s="5">
        <v>2.6</v>
      </c>
      <c r="J10" s="5"/>
      <c r="M10">
        <f>(D10*60+E10)*10</f>
        <v>0</v>
      </c>
      <c r="N10">
        <f>H10*10</f>
        <v>1050</v>
      </c>
      <c r="O10">
        <f t="shared" si="1"/>
        <v>1050</v>
      </c>
      <c r="P10" s="6">
        <f t="shared" si="2"/>
        <v>3730</v>
      </c>
    </row>
    <row r="11" spans="1:17" x14ac:dyDescent="0.15">
      <c r="B11" s="16" t="s">
        <v>17</v>
      </c>
      <c r="C11" s="31" t="s">
        <v>137</v>
      </c>
      <c r="D11" s="24"/>
      <c r="E11" s="21"/>
      <c r="F11" s="14">
        <f>IF(P11&lt;0,0,IF(AND(E11=0,D11=0),0,ROUNDDOWN(P11,0)))</f>
        <v>0</v>
      </c>
      <c r="H11" s="5">
        <v>320</v>
      </c>
      <c r="I11" s="5">
        <v>0.7</v>
      </c>
      <c r="J11" s="5"/>
      <c r="M11">
        <f>(D11*60+E11)*10</f>
        <v>0</v>
      </c>
      <c r="N11">
        <f>H11*10</f>
        <v>3200</v>
      </c>
      <c r="O11">
        <f>N11-M11</f>
        <v>3200</v>
      </c>
      <c r="P11" s="6">
        <f>1000+O11*I11</f>
        <v>3240</v>
      </c>
    </row>
    <row r="12" spans="1:17" x14ac:dyDescent="0.15">
      <c r="B12" s="16" t="s">
        <v>79</v>
      </c>
      <c r="C12" s="31" t="s">
        <v>97</v>
      </c>
      <c r="D12" s="29"/>
      <c r="E12" s="21"/>
      <c r="F12" s="14">
        <f t="shared" si="0"/>
        <v>0</v>
      </c>
      <c r="H12" s="5">
        <v>10.5</v>
      </c>
      <c r="I12" s="5">
        <v>2</v>
      </c>
      <c r="J12" s="5"/>
      <c r="M12">
        <f>E12*100</f>
        <v>0</v>
      </c>
      <c r="N12">
        <f>H12*100</f>
        <v>1050</v>
      </c>
      <c r="O12">
        <f t="shared" si="1"/>
        <v>1050</v>
      </c>
      <c r="P12" s="6">
        <f t="shared" si="2"/>
        <v>3100</v>
      </c>
    </row>
    <row r="13" spans="1:17" x14ac:dyDescent="0.15">
      <c r="B13" s="16" t="s">
        <v>81</v>
      </c>
      <c r="C13" s="31" t="s">
        <v>93</v>
      </c>
      <c r="D13" s="30"/>
      <c r="E13" s="21"/>
      <c r="F13" s="14">
        <f t="shared" si="0"/>
        <v>0</v>
      </c>
      <c r="H13" s="5">
        <v>34.799999999999997</v>
      </c>
      <c r="I13" s="5">
        <v>0.6</v>
      </c>
      <c r="J13" s="5"/>
      <c r="M13">
        <f>E13*100</f>
        <v>0</v>
      </c>
      <c r="N13">
        <f>H13*100</f>
        <v>3479.9999999999995</v>
      </c>
      <c r="O13">
        <f t="shared" si="1"/>
        <v>3479.9999999999995</v>
      </c>
      <c r="P13" s="6">
        <f t="shared" si="2"/>
        <v>3087.9999999999995</v>
      </c>
    </row>
    <row r="14" spans="1:17" ht="16" x14ac:dyDescent="0.2">
      <c r="B14" s="7"/>
      <c r="C14" s="7"/>
      <c r="D14" s="7"/>
      <c r="E14" s="35" t="s">
        <v>34</v>
      </c>
      <c r="F14" s="4"/>
      <c r="G14" s="4"/>
      <c r="H14" s="8"/>
      <c r="I14" s="8"/>
      <c r="J14" s="8"/>
      <c r="K14" s="4"/>
      <c r="L14" s="4"/>
      <c r="M14" s="4"/>
      <c r="N14" s="4"/>
      <c r="O14" s="4"/>
      <c r="P14" s="4"/>
      <c r="Q14" s="4"/>
    </row>
    <row r="15" spans="1:17" x14ac:dyDescent="0.15">
      <c r="B15" s="16" t="s">
        <v>10</v>
      </c>
      <c r="C15" s="18"/>
      <c r="D15" s="26"/>
      <c r="E15" s="21"/>
      <c r="F15" s="14">
        <f t="shared" ref="F15:F26" si="3">IF(P15&lt;0,0,IF(E15=0,0,ROUNDDOWN(P15,0)))</f>
        <v>0</v>
      </c>
      <c r="H15" s="5">
        <v>1.38</v>
      </c>
      <c r="I15" s="5">
        <v>7</v>
      </c>
      <c r="J15" s="5"/>
      <c r="M15">
        <f t="shared" ref="M15:M26" si="4">E15*100</f>
        <v>0</v>
      </c>
      <c r="N15">
        <f t="shared" ref="N15:N26" si="5">H15*100</f>
        <v>138</v>
      </c>
      <c r="O15">
        <f t="shared" ref="O15:O26" si="6">N15-M15</f>
        <v>138</v>
      </c>
      <c r="P15" s="6">
        <f t="shared" ref="P15:P20" si="7">1000-O15*I15</f>
        <v>34</v>
      </c>
    </row>
    <row r="16" spans="1:17" x14ac:dyDescent="0.15">
      <c r="B16" s="16" t="s">
        <v>27</v>
      </c>
      <c r="C16" s="19"/>
      <c r="D16" s="27"/>
      <c r="E16" s="21"/>
      <c r="F16" s="14">
        <f t="shared" si="3"/>
        <v>0</v>
      </c>
      <c r="H16" s="5">
        <v>1.1000000000000001</v>
      </c>
      <c r="I16" s="5">
        <v>8.5</v>
      </c>
      <c r="J16" s="5"/>
      <c r="M16">
        <f t="shared" si="4"/>
        <v>0</v>
      </c>
      <c r="N16">
        <f t="shared" si="5"/>
        <v>110.00000000000001</v>
      </c>
      <c r="O16">
        <f t="shared" si="6"/>
        <v>110.00000000000001</v>
      </c>
      <c r="P16" s="6">
        <f t="shared" si="7"/>
        <v>64.999999999999886</v>
      </c>
    </row>
    <row r="17" spans="2:17" x14ac:dyDescent="0.15">
      <c r="B17" s="16" t="s">
        <v>28</v>
      </c>
      <c r="C17" s="19"/>
      <c r="D17" s="27"/>
      <c r="E17" s="21"/>
      <c r="F17" s="14">
        <f t="shared" si="3"/>
        <v>0</v>
      </c>
      <c r="H17" s="5">
        <v>2.2999999999999998</v>
      </c>
      <c r="I17" s="5">
        <f>IF(E17&lt;0.8*H17,L17,Q17)</f>
        <v>7</v>
      </c>
      <c r="J17" s="5">
        <v>1.7</v>
      </c>
      <c r="K17" s="5">
        <v>3.5</v>
      </c>
      <c r="L17" s="5">
        <v>7</v>
      </c>
      <c r="M17">
        <f t="shared" si="4"/>
        <v>0</v>
      </c>
      <c r="N17">
        <f t="shared" si="5"/>
        <v>229.99999999999997</v>
      </c>
      <c r="O17">
        <f t="shared" si="6"/>
        <v>229.99999999999997</v>
      </c>
      <c r="P17" s="6">
        <f>IF(E17&lt;0.8*H17,1000-((N17-0.8*N17)*K17+(O17-(N17-N17*0.8))*L17),1000-O17*I17)</f>
        <v>-449</v>
      </c>
      <c r="Q17" s="5">
        <f>IF(E17&gt;H17,J17,K17)</f>
        <v>3.5</v>
      </c>
    </row>
    <row r="18" spans="2:17" x14ac:dyDescent="0.15">
      <c r="B18" s="16" t="s">
        <v>11</v>
      </c>
      <c r="C18" s="19"/>
      <c r="D18" s="27"/>
      <c r="E18" s="21"/>
      <c r="F18" s="14">
        <f t="shared" si="3"/>
        <v>0</v>
      </c>
      <c r="H18" s="5">
        <v>4.55</v>
      </c>
      <c r="I18" s="5">
        <v>2</v>
      </c>
      <c r="J18" s="5"/>
      <c r="M18">
        <f t="shared" si="4"/>
        <v>0</v>
      </c>
      <c r="N18">
        <f t="shared" si="5"/>
        <v>455</v>
      </c>
      <c r="O18">
        <f t="shared" si="6"/>
        <v>455</v>
      </c>
      <c r="P18" s="6">
        <f t="shared" si="7"/>
        <v>90</v>
      </c>
    </row>
    <row r="19" spans="2:17" x14ac:dyDescent="0.15">
      <c r="B19" s="16" t="s">
        <v>29</v>
      </c>
      <c r="C19" s="19"/>
      <c r="D19" s="27"/>
      <c r="E19" s="21"/>
      <c r="F19" s="14">
        <f t="shared" si="3"/>
        <v>0</v>
      </c>
      <c r="H19" s="5">
        <v>2.2799999999999998</v>
      </c>
      <c r="I19" s="5">
        <v>5</v>
      </c>
      <c r="J19" s="5"/>
      <c r="M19">
        <f t="shared" si="4"/>
        <v>0</v>
      </c>
      <c r="N19">
        <f t="shared" si="5"/>
        <v>227.99999999999997</v>
      </c>
      <c r="O19">
        <f t="shared" si="6"/>
        <v>227.99999999999997</v>
      </c>
      <c r="P19" s="6">
        <f t="shared" si="7"/>
        <v>-139.99999999999977</v>
      </c>
    </row>
    <row r="20" spans="2:17" x14ac:dyDescent="0.15">
      <c r="B20" s="16" t="s">
        <v>30</v>
      </c>
      <c r="C20" s="20"/>
      <c r="D20" s="27"/>
      <c r="E20" s="21"/>
      <c r="F20" s="14">
        <f t="shared" si="3"/>
        <v>0</v>
      </c>
      <c r="H20" s="5">
        <v>9.1999999999999993</v>
      </c>
      <c r="I20" s="5">
        <v>1</v>
      </c>
      <c r="J20" s="5"/>
      <c r="M20">
        <f t="shared" si="4"/>
        <v>0</v>
      </c>
      <c r="N20">
        <f t="shared" si="5"/>
        <v>919.99999999999989</v>
      </c>
      <c r="O20">
        <f t="shared" si="6"/>
        <v>919.99999999999989</v>
      </c>
      <c r="P20" s="6">
        <f t="shared" si="7"/>
        <v>80.000000000000114</v>
      </c>
    </row>
    <row r="21" spans="2:17" x14ac:dyDescent="0.15">
      <c r="B21" s="16" t="s">
        <v>86</v>
      </c>
      <c r="C21" s="31" t="s">
        <v>94</v>
      </c>
      <c r="D21" s="27"/>
      <c r="E21" s="21"/>
      <c r="F21" s="14">
        <f t="shared" si="3"/>
        <v>0</v>
      </c>
      <c r="H21" s="5">
        <v>10.5</v>
      </c>
      <c r="I21" s="5">
        <f t="shared" ref="I21:I26" si="8">IF(E21&lt;0.8*H21,L21,Q21)</f>
        <v>1.2</v>
      </c>
      <c r="J21" s="5">
        <v>0.3</v>
      </c>
      <c r="K21" s="5">
        <v>0.6</v>
      </c>
      <c r="L21" s="5">
        <v>1.2</v>
      </c>
      <c r="M21">
        <f>E21*100</f>
        <v>0</v>
      </c>
      <c r="N21">
        <f>H21*100</f>
        <v>1050</v>
      </c>
      <c r="O21">
        <f>N21-M21</f>
        <v>1050</v>
      </c>
      <c r="P21" s="6">
        <f t="shared" ref="P21:P26" si="9">IF(E21&lt;0.8*H21,1000-((N21-0.8*N21)*K21+(O21-(N21-N21*0.8))*L21),1000-O21*I21)</f>
        <v>-134</v>
      </c>
      <c r="Q21" s="5">
        <f t="shared" ref="Q21:Q26" si="10">IF(E21&gt;H21,J21,K21)</f>
        <v>0.6</v>
      </c>
    </row>
    <row r="22" spans="2:17" x14ac:dyDescent="0.15">
      <c r="B22" s="16" t="s">
        <v>87</v>
      </c>
      <c r="C22" s="31" t="s">
        <v>95</v>
      </c>
      <c r="D22" s="27"/>
      <c r="E22" s="21"/>
      <c r="F22" s="14">
        <f t="shared" si="3"/>
        <v>0</v>
      </c>
      <c r="H22" s="5">
        <v>28</v>
      </c>
      <c r="I22" s="5">
        <f t="shared" si="8"/>
        <v>0.5</v>
      </c>
      <c r="J22" s="5">
        <v>0.13</v>
      </c>
      <c r="K22" s="5">
        <v>0.25</v>
      </c>
      <c r="L22" s="5">
        <v>0.5</v>
      </c>
      <c r="M22">
        <f>E22*100</f>
        <v>0</v>
      </c>
      <c r="N22">
        <f>H22*100</f>
        <v>2800</v>
      </c>
      <c r="O22">
        <f>N22-M22</f>
        <v>2800</v>
      </c>
      <c r="P22" s="6">
        <f t="shared" si="9"/>
        <v>-260</v>
      </c>
      <c r="Q22" s="5">
        <f t="shared" si="10"/>
        <v>0.25</v>
      </c>
    </row>
    <row r="23" spans="2:17" x14ac:dyDescent="0.15">
      <c r="B23" s="16" t="s">
        <v>88</v>
      </c>
      <c r="C23" s="31" t="s">
        <v>148</v>
      </c>
      <c r="D23" s="27"/>
      <c r="E23" s="21"/>
      <c r="F23" s="14">
        <f t="shared" si="3"/>
        <v>0</v>
      </c>
      <c r="H23" s="5">
        <v>30</v>
      </c>
      <c r="I23" s="5">
        <f t="shared" si="8"/>
        <v>0.4</v>
      </c>
      <c r="J23" s="5">
        <v>0.1</v>
      </c>
      <c r="K23" s="5">
        <v>0.2</v>
      </c>
      <c r="L23" s="5">
        <v>0.4</v>
      </c>
      <c r="M23">
        <f t="shared" si="4"/>
        <v>0</v>
      </c>
      <c r="N23">
        <f t="shared" si="5"/>
        <v>3000</v>
      </c>
      <c r="O23">
        <f t="shared" si="6"/>
        <v>3000</v>
      </c>
      <c r="P23" s="6">
        <f t="shared" si="9"/>
        <v>-80</v>
      </c>
      <c r="Q23" s="5">
        <f t="shared" si="10"/>
        <v>0.2</v>
      </c>
    </row>
    <row r="24" spans="2:17" x14ac:dyDescent="0.15">
      <c r="B24" s="16" t="s">
        <v>89</v>
      </c>
      <c r="C24" s="31" t="s">
        <v>96</v>
      </c>
      <c r="D24" s="27"/>
      <c r="E24" s="21"/>
      <c r="F24" s="14">
        <f t="shared" si="3"/>
        <v>0</v>
      </c>
      <c r="H24" s="5">
        <v>32</v>
      </c>
      <c r="I24" s="5">
        <f t="shared" si="8"/>
        <v>0.4</v>
      </c>
      <c r="J24" s="5">
        <v>0.1</v>
      </c>
      <c r="K24" s="5">
        <v>0.2</v>
      </c>
      <c r="L24" s="5">
        <v>0.4</v>
      </c>
      <c r="M24">
        <f t="shared" si="4"/>
        <v>0</v>
      </c>
      <c r="N24">
        <f t="shared" si="5"/>
        <v>3200</v>
      </c>
      <c r="O24">
        <f t="shared" si="6"/>
        <v>3200</v>
      </c>
      <c r="P24" s="6">
        <f t="shared" si="9"/>
        <v>-152</v>
      </c>
      <c r="Q24" s="5">
        <f t="shared" si="10"/>
        <v>0.2</v>
      </c>
    </row>
    <row r="25" spans="2:17" x14ac:dyDescent="0.15">
      <c r="B25" s="16" t="s">
        <v>90</v>
      </c>
      <c r="C25" s="31" t="s">
        <v>101</v>
      </c>
      <c r="D25" s="27"/>
      <c r="E25" s="21"/>
      <c r="F25" s="14">
        <f t="shared" si="3"/>
        <v>0</v>
      </c>
      <c r="H25" s="5">
        <v>55</v>
      </c>
      <c r="I25" s="5">
        <f t="shared" si="8"/>
        <v>0.3</v>
      </c>
      <c r="J25" s="5">
        <v>0.08</v>
      </c>
      <c r="K25" s="5">
        <v>0.15</v>
      </c>
      <c r="L25" s="5">
        <v>0.3</v>
      </c>
      <c r="M25">
        <f t="shared" si="4"/>
        <v>0</v>
      </c>
      <c r="N25">
        <f t="shared" si="5"/>
        <v>5500</v>
      </c>
      <c r="O25">
        <f t="shared" si="6"/>
        <v>5500</v>
      </c>
      <c r="P25" s="6">
        <f t="shared" si="9"/>
        <v>-485</v>
      </c>
      <c r="Q25" s="5">
        <f t="shared" si="10"/>
        <v>0.15</v>
      </c>
    </row>
    <row r="26" spans="2:17" x14ac:dyDescent="0.15">
      <c r="B26" s="16" t="s">
        <v>92</v>
      </c>
      <c r="C26" s="31" t="s">
        <v>85</v>
      </c>
      <c r="D26" s="30"/>
      <c r="E26" s="21"/>
      <c r="F26" s="14">
        <f t="shared" si="3"/>
        <v>0</v>
      </c>
      <c r="H26" s="5">
        <v>30</v>
      </c>
      <c r="I26" s="5">
        <f t="shared" si="8"/>
        <v>0.3</v>
      </c>
      <c r="J26" s="5">
        <v>0.08</v>
      </c>
      <c r="K26" s="5">
        <v>0.15</v>
      </c>
      <c r="L26" s="5">
        <v>0.3</v>
      </c>
      <c r="M26">
        <f t="shared" si="4"/>
        <v>0</v>
      </c>
      <c r="N26">
        <f t="shared" si="5"/>
        <v>3000</v>
      </c>
      <c r="O26">
        <f t="shared" si="6"/>
        <v>3000</v>
      </c>
      <c r="P26" s="6">
        <f t="shared" si="9"/>
        <v>190</v>
      </c>
      <c r="Q26" s="5">
        <f t="shared" si="10"/>
        <v>0.15</v>
      </c>
    </row>
    <row r="28" spans="2:17" x14ac:dyDescent="0.15">
      <c r="B28" s="60" t="s">
        <v>47</v>
      </c>
      <c r="C28" s="60"/>
      <c r="D28" s="60"/>
      <c r="E28" s="60"/>
      <c r="F28" s="60"/>
    </row>
    <row r="29" spans="2:17" x14ac:dyDescent="0.15">
      <c r="B29" s="60" t="s">
        <v>36</v>
      </c>
      <c r="C29" s="60"/>
      <c r="D29" s="60"/>
      <c r="E29" s="60"/>
      <c r="F29" s="60"/>
    </row>
    <row r="30" spans="2:17" x14ac:dyDescent="0.15">
      <c r="B30" s="60" t="s">
        <v>35</v>
      </c>
      <c r="C30" s="60"/>
      <c r="D30" s="60"/>
      <c r="E30" s="60"/>
      <c r="F30" s="60"/>
    </row>
    <row r="32" spans="2:17" ht="16" x14ac:dyDescent="0.2">
      <c r="B32" s="58" t="s">
        <v>146</v>
      </c>
      <c r="C32" s="59"/>
      <c r="D32" s="59"/>
      <c r="E32" s="59"/>
      <c r="F32" s="59"/>
    </row>
  </sheetData>
  <sheetProtection password="CCED" sheet="1" selectLockedCells="1"/>
  <mergeCells count="6">
    <mergeCell ref="D4:E4"/>
    <mergeCell ref="B4:C4"/>
    <mergeCell ref="B32:F32"/>
    <mergeCell ref="B28:F28"/>
    <mergeCell ref="B29:F29"/>
    <mergeCell ref="B30:F30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indexed="10"/>
  </sheetPr>
  <dimension ref="A1:Q32"/>
  <sheetViews>
    <sheetView showGridLines="0" showRowColHeaders="0" showOutlineSymbols="0" workbookViewId="0">
      <selection activeCell="E23" sqref="E23"/>
    </sheetView>
  </sheetViews>
  <sheetFormatPr baseColWidth="10" defaultColWidth="8.83203125" defaultRowHeight="13" x14ac:dyDescent="0.15"/>
  <cols>
    <col min="1" max="1" width="11.5" customWidth="1"/>
    <col min="2" max="2" width="15.1640625" customWidth="1"/>
    <col min="3" max="3" width="12.83203125" customWidth="1"/>
    <col min="4" max="6" width="11.5" customWidth="1"/>
    <col min="7" max="7" width="5.6640625" customWidth="1"/>
    <col min="8" max="8" width="10" hidden="1" customWidth="1"/>
    <col min="9" max="9" width="8.6640625" hidden="1" customWidth="1"/>
    <col min="10" max="11" width="8" hidden="1" customWidth="1"/>
    <col min="12" max="12" width="7.33203125" hidden="1" customWidth="1"/>
    <col min="13" max="13" width="5.33203125" hidden="1" customWidth="1"/>
    <col min="14" max="14" width="6.33203125" hidden="1" customWidth="1"/>
    <col min="15" max="15" width="6.5" hidden="1" customWidth="1"/>
    <col min="16" max="16" width="12.6640625" hidden="1" customWidth="1"/>
    <col min="17" max="17" width="5.832031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76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61" t="s">
        <v>1</v>
      </c>
      <c r="E4" s="61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9" t="s">
        <v>32</v>
      </c>
      <c r="E5" s="39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5" t="s">
        <v>68</v>
      </c>
      <c r="C6" s="18"/>
      <c r="D6" s="26"/>
      <c r="E6" s="22"/>
      <c r="F6" s="14">
        <f t="shared" ref="F6:F13" si="0">IF(P6&lt;0,0,IF(E6=0,0,ROUNDDOWN(P6,0)))</f>
        <v>0</v>
      </c>
      <c r="H6" s="5">
        <v>6.4</v>
      </c>
      <c r="I6" s="5">
        <v>3.5</v>
      </c>
      <c r="J6" s="5"/>
      <c r="M6">
        <f>E6*100</f>
        <v>0</v>
      </c>
      <c r="N6">
        <f>H6*100</f>
        <v>640</v>
      </c>
      <c r="O6">
        <f t="shared" ref="O6:O13" si="1">N6-M6</f>
        <v>640</v>
      </c>
      <c r="P6" s="6">
        <f t="shared" ref="P6:P13" si="2">1000+O6*I6</f>
        <v>3240</v>
      </c>
    </row>
    <row r="7" spans="1:17" x14ac:dyDescent="0.15">
      <c r="B7" s="15" t="s">
        <v>8</v>
      </c>
      <c r="C7" s="19"/>
      <c r="D7" s="27"/>
      <c r="E7" s="22"/>
      <c r="F7" s="14">
        <f t="shared" si="0"/>
        <v>0</v>
      </c>
      <c r="H7" s="5">
        <v>8.85</v>
      </c>
      <c r="I7" s="5">
        <v>2.7</v>
      </c>
      <c r="J7" s="5"/>
      <c r="M7">
        <f>E7*100</f>
        <v>0</v>
      </c>
      <c r="N7">
        <f>H7*100</f>
        <v>885</v>
      </c>
      <c r="O7">
        <f t="shared" si="1"/>
        <v>885</v>
      </c>
      <c r="P7" s="6">
        <f t="shared" si="2"/>
        <v>3389.5</v>
      </c>
    </row>
    <row r="8" spans="1:17" x14ac:dyDescent="0.15">
      <c r="B8" s="16" t="s">
        <v>69</v>
      </c>
      <c r="C8" s="19"/>
      <c r="D8" s="27"/>
      <c r="E8" s="21"/>
      <c r="F8" s="14">
        <f t="shared" si="0"/>
        <v>0</v>
      </c>
      <c r="H8" s="5">
        <v>11.6</v>
      </c>
      <c r="I8" s="5">
        <v>2.1</v>
      </c>
      <c r="J8" s="5"/>
      <c r="M8">
        <f>E8*100</f>
        <v>0</v>
      </c>
      <c r="N8">
        <f>H8*100</f>
        <v>1160</v>
      </c>
      <c r="O8">
        <f t="shared" si="1"/>
        <v>1160</v>
      </c>
      <c r="P8" s="6">
        <f t="shared" si="2"/>
        <v>3436</v>
      </c>
    </row>
    <row r="9" spans="1:17" x14ac:dyDescent="0.15">
      <c r="B9" s="16" t="s">
        <v>14</v>
      </c>
      <c r="C9" s="19"/>
      <c r="D9" s="27"/>
      <c r="E9" s="21"/>
      <c r="F9" s="14">
        <f t="shared" si="0"/>
        <v>0</v>
      </c>
      <c r="H9" s="5">
        <v>29.7</v>
      </c>
      <c r="I9" s="5">
        <v>0.78</v>
      </c>
      <c r="J9" s="5"/>
      <c r="M9">
        <f>E9*100</f>
        <v>0</v>
      </c>
      <c r="N9">
        <f>H9*100</f>
        <v>2970</v>
      </c>
      <c r="O9">
        <f t="shared" si="1"/>
        <v>2970</v>
      </c>
      <c r="P9" s="6">
        <f t="shared" si="2"/>
        <v>3316.6</v>
      </c>
    </row>
    <row r="10" spans="1:17" x14ac:dyDescent="0.15">
      <c r="B10" s="15" t="s">
        <v>9</v>
      </c>
      <c r="C10" s="19"/>
      <c r="D10" s="24"/>
      <c r="E10" s="22"/>
      <c r="F10" s="14">
        <f>IF(P10&lt;0,0,IF(AND(E10=0,D10=0),0,ROUNDDOWN(P10,0)))</f>
        <v>0</v>
      </c>
      <c r="H10" s="5">
        <v>110</v>
      </c>
      <c r="I10" s="5">
        <v>2.4</v>
      </c>
      <c r="J10" s="5"/>
      <c r="M10">
        <f>(D10*60+E10)*10</f>
        <v>0</v>
      </c>
      <c r="N10">
        <f>H10*10</f>
        <v>1100</v>
      </c>
      <c r="O10">
        <f t="shared" si="1"/>
        <v>1100</v>
      </c>
      <c r="P10" s="6">
        <f t="shared" si="2"/>
        <v>3640</v>
      </c>
    </row>
    <row r="11" spans="1:17" x14ac:dyDescent="0.15">
      <c r="B11" s="16" t="s">
        <v>17</v>
      </c>
      <c r="C11" s="31" t="s">
        <v>137</v>
      </c>
      <c r="D11" s="24"/>
      <c r="E11" s="21"/>
      <c r="F11" s="14">
        <f>IF(P11&lt;0,0,IF(AND(E11=0,D11=0),0,ROUNDDOWN(P11,0)))</f>
        <v>0</v>
      </c>
      <c r="H11" s="5">
        <v>320</v>
      </c>
      <c r="I11" s="5">
        <v>0.7</v>
      </c>
      <c r="J11" s="5"/>
      <c r="M11">
        <f>(D11*60+E11)*10</f>
        <v>0</v>
      </c>
      <c r="N11">
        <f>H11*10</f>
        <v>3200</v>
      </c>
      <c r="O11">
        <f>N11-M11</f>
        <v>3200</v>
      </c>
      <c r="P11" s="6">
        <f>1000+O11*I11</f>
        <v>3240</v>
      </c>
    </row>
    <row r="12" spans="1:17" x14ac:dyDescent="0.15">
      <c r="B12" s="16" t="s">
        <v>79</v>
      </c>
      <c r="C12" s="31" t="s">
        <v>97</v>
      </c>
      <c r="D12" s="29"/>
      <c r="E12" s="21"/>
      <c r="F12" s="14">
        <f t="shared" si="0"/>
        <v>0</v>
      </c>
      <c r="H12" s="5">
        <v>10.9</v>
      </c>
      <c r="I12" s="5">
        <v>1.9</v>
      </c>
      <c r="J12" s="5"/>
      <c r="M12">
        <f>E12*100</f>
        <v>0</v>
      </c>
      <c r="N12">
        <f>H12*100</f>
        <v>1090</v>
      </c>
      <c r="O12">
        <f t="shared" si="1"/>
        <v>1090</v>
      </c>
      <c r="P12" s="6">
        <f t="shared" si="2"/>
        <v>3071</v>
      </c>
    </row>
    <row r="13" spans="1:17" x14ac:dyDescent="0.15">
      <c r="B13" s="16" t="s">
        <v>81</v>
      </c>
      <c r="C13" s="31" t="s">
        <v>80</v>
      </c>
      <c r="D13" s="30"/>
      <c r="E13" s="21"/>
      <c r="F13" s="14">
        <f t="shared" si="0"/>
        <v>0</v>
      </c>
      <c r="H13" s="5">
        <v>36</v>
      </c>
      <c r="I13" s="5">
        <v>0.5</v>
      </c>
      <c r="J13" s="5"/>
      <c r="M13">
        <f>E13*100</f>
        <v>0</v>
      </c>
      <c r="N13">
        <f>H13*100</f>
        <v>3600</v>
      </c>
      <c r="O13">
        <f t="shared" si="1"/>
        <v>3600</v>
      </c>
      <c r="P13" s="6">
        <f t="shared" si="2"/>
        <v>2800</v>
      </c>
    </row>
    <row r="14" spans="1:17" ht="16" x14ac:dyDescent="0.2">
      <c r="B14" s="7"/>
      <c r="C14" s="7"/>
      <c r="D14" s="7"/>
      <c r="E14" s="39" t="s">
        <v>34</v>
      </c>
      <c r="F14" s="4"/>
      <c r="G14" s="4"/>
      <c r="H14" s="8"/>
      <c r="I14" s="8"/>
      <c r="J14" s="8"/>
      <c r="K14" s="4"/>
      <c r="L14" s="4"/>
      <c r="M14" s="4"/>
      <c r="N14" s="4"/>
      <c r="O14" s="4"/>
      <c r="P14" s="4"/>
      <c r="Q14" s="4"/>
    </row>
    <row r="15" spans="1:17" x14ac:dyDescent="0.15">
      <c r="B15" s="16" t="s">
        <v>10</v>
      </c>
      <c r="C15" s="33"/>
      <c r="D15" s="26"/>
      <c r="E15" s="21"/>
      <c r="F15" s="14">
        <f t="shared" ref="F15:F26" si="3">IF(P15&lt;0,0,IF(E15=0,0,ROUNDDOWN(P15,0)))</f>
        <v>0</v>
      </c>
      <c r="H15" s="5">
        <v>1.34</v>
      </c>
      <c r="I15" s="5">
        <v>7.5</v>
      </c>
      <c r="J15" s="5"/>
      <c r="M15">
        <f t="shared" ref="M15:M26" si="4">E15*100</f>
        <v>0</v>
      </c>
      <c r="N15">
        <f t="shared" ref="N15:N26" si="5">H15*100</f>
        <v>134</v>
      </c>
      <c r="O15">
        <f t="shared" ref="O15:O26" si="6">N15-M15</f>
        <v>134</v>
      </c>
      <c r="P15" s="6">
        <f t="shared" ref="P15:P20" si="7">1000-O15*I15</f>
        <v>-5</v>
      </c>
    </row>
    <row r="16" spans="1:17" x14ac:dyDescent="0.15">
      <c r="B16" s="16" t="s">
        <v>27</v>
      </c>
      <c r="C16" s="34"/>
      <c r="D16" s="27"/>
      <c r="E16" s="21"/>
      <c r="F16" s="14">
        <f t="shared" si="3"/>
        <v>0</v>
      </c>
      <c r="H16" s="5">
        <v>1.1000000000000001</v>
      </c>
      <c r="I16" s="5">
        <v>9.5</v>
      </c>
      <c r="J16" s="5"/>
      <c r="M16">
        <f t="shared" si="4"/>
        <v>0</v>
      </c>
      <c r="N16">
        <f t="shared" si="5"/>
        <v>110.00000000000001</v>
      </c>
      <c r="O16">
        <f t="shared" si="6"/>
        <v>110.00000000000001</v>
      </c>
      <c r="P16" s="6">
        <f t="shared" si="7"/>
        <v>-45.000000000000227</v>
      </c>
    </row>
    <row r="17" spans="2:17" x14ac:dyDescent="0.15">
      <c r="B17" s="16" t="s">
        <v>28</v>
      </c>
      <c r="C17" s="34"/>
      <c r="D17" s="27"/>
      <c r="E17" s="21"/>
      <c r="F17" s="14">
        <f t="shared" si="3"/>
        <v>0</v>
      </c>
      <c r="H17" s="5">
        <v>2</v>
      </c>
      <c r="I17" s="5">
        <f>IF(E17&lt;0.8*H17,L17,Q17)</f>
        <v>8</v>
      </c>
      <c r="J17" s="5">
        <v>2</v>
      </c>
      <c r="K17" s="5">
        <v>4</v>
      </c>
      <c r="L17" s="5">
        <v>8</v>
      </c>
      <c r="M17">
        <f t="shared" si="4"/>
        <v>0</v>
      </c>
      <c r="N17">
        <f t="shared" si="5"/>
        <v>200</v>
      </c>
      <c r="O17">
        <f t="shared" si="6"/>
        <v>200</v>
      </c>
      <c r="P17" s="6">
        <f>IF(E17&lt;0.8*H17,1000-((N17-0.8*N17)*K17+(O17-(N17-N17*0.8))*L17),1000-O17*I17)</f>
        <v>-440</v>
      </c>
      <c r="Q17" s="5">
        <f>IF(E17&gt;H17,J17,K17)</f>
        <v>4</v>
      </c>
    </row>
    <row r="18" spans="2:17" x14ac:dyDescent="0.15">
      <c r="B18" s="16" t="s">
        <v>11</v>
      </c>
      <c r="C18" s="34"/>
      <c r="D18" s="27"/>
      <c r="E18" s="21"/>
      <c r="F18" s="14">
        <f t="shared" si="3"/>
        <v>0</v>
      </c>
      <c r="H18" s="5">
        <v>4.3499999999999996</v>
      </c>
      <c r="I18" s="5">
        <v>2.1</v>
      </c>
      <c r="J18" s="5"/>
      <c r="M18">
        <f t="shared" si="4"/>
        <v>0</v>
      </c>
      <c r="N18">
        <f t="shared" si="5"/>
        <v>434.99999999999994</v>
      </c>
      <c r="O18">
        <f t="shared" si="6"/>
        <v>434.99999999999994</v>
      </c>
      <c r="P18" s="6">
        <f t="shared" si="7"/>
        <v>86.500000000000114</v>
      </c>
    </row>
    <row r="19" spans="2:17" x14ac:dyDescent="0.15">
      <c r="B19" s="16" t="s">
        <v>29</v>
      </c>
      <c r="C19" s="34"/>
      <c r="D19" s="27"/>
      <c r="E19" s="21"/>
      <c r="F19" s="14">
        <f t="shared" si="3"/>
        <v>0</v>
      </c>
      <c r="H19" s="5">
        <v>2.1800000000000002</v>
      </c>
      <c r="I19" s="5">
        <v>6</v>
      </c>
      <c r="J19" s="5"/>
      <c r="M19">
        <f t="shared" si="4"/>
        <v>0</v>
      </c>
      <c r="N19">
        <f t="shared" si="5"/>
        <v>218.00000000000003</v>
      </c>
      <c r="O19">
        <f t="shared" si="6"/>
        <v>218.00000000000003</v>
      </c>
      <c r="P19" s="6">
        <f t="shared" si="7"/>
        <v>-308.00000000000023</v>
      </c>
    </row>
    <row r="20" spans="2:17" x14ac:dyDescent="0.15">
      <c r="B20" s="16" t="s">
        <v>30</v>
      </c>
      <c r="C20" s="34"/>
      <c r="D20" s="27"/>
      <c r="E20" s="21"/>
      <c r="F20" s="14">
        <f t="shared" si="3"/>
        <v>0</v>
      </c>
      <c r="H20" s="5">
        <v>8.8000000000000007</v>
      </c>
      <c r="I20" s="5">
        <v>1</v>
      </c>
      <c r="J20" s="5"/>
      <c r="M20">
        <f t="shared" si="4"/>
        <v>0</v>
      </c>
      <c r="N20">
        <f t="shared" si="5"/>
        <v>880.00000000000011</v>
      </c>
      <c r="O20">
        <f t="shared" si="6"/>
        <v>880.00000000000011</v>
      </c>
      <c r="P20" s="6">
        <f t="shared" si="7"/>
        <v>119.99999999999989</v>
      </c>
    </row>
    <row r="21" spans="2:17" x14ac:dyDescent="0.15">
      <c r="B21" s="16" t="s">
        <v>86</v>
      </c>
      <c r="C21" s="31" t="s">
        <v>94</v>
      </c>
      <c r="D21" s="27"/>
      <c r="E21" s="21"/>
      <c r="F21" s="14">
        <f t="shared" si="3"/>
        <v>0</v>
      </c>
      <c r="H21" s="5">
        <v>8.8000000000000007</v>
      </c>
      <c r="I21" s="5">
        <f t="shared" ref="I21:I26" si="8">IF(E21&lt;0.8*H21,L21,Q21)</f>
        <v>1.2</v>
      </c>
      <c r="J21" s="5">
        <v>0.3</v>
      </c>
      <c r="K21" s="5">
        <v>0.6</v>
      </c>
      <c r="L21" s="5">
        <v>1.2</v>
      </c>
      <c r="M21">
        <f t="shared" si="4"/>
        <v>0</v>
      </c>
      <c r="N21">
        <f t="shared" si="5"/>
        <v>880.00000000000011</v>
      </c>
      <c r="O21">
        <f t="shared" si="6"/>
        <v>880.00000000000011</v>
      </c>
      <c r="P21" s="6">
        <f t="shared" ref="P21:P26" si="9">IF(E21&lt;0.8*H21,1000-((N21-0.8*N21)*K21+(O21-(N21-N21*0.8))*L21),1000-O21*I21)</f>
        <v>49.599999999999909</v>
      </c>
      <c r="Q21" s="5">
        <f t="shared" ref="Q21:Q26" si="10">IF(E21&gt;H21,J21,K21)</f>
        <v>0.6</v>
      </c>
    </row>
    <row r="22" spans="2:17" x14ac:dyDescent="0.15">
      <c r="B22" s="16" t="s">
        <v>87</v>
      </c>
      <c r="C22" s="31" t="s">
        <v>95</v>
      </c>
      <c r="D22" s="27"/>
      <c r="E22" s="21"/>
      <c r="F22" s="14">
        <f t="shared" si="3"/>
        <v>0</v>
      </c>
      <c r="H22" s="5">
        <v>26</v>
      </c>
      <c r="I22" s="5">
        <f t="shared" si="8"/>
        <v>0.6</v>
      </c>
      <c r="J22" s="5">
        <v>0.15</v>
      </c>
      <c r="K22" s="5">
        <v>0.3</v>
      </c>
      <c r="L22" s="5">
        <v>0.6</v>
      </c>
      <c r="M22">
        <f t="shared" si="4"/>
        <v>0</v>
      </c>
      <c r="N22">
        <f t="shared" si="5"/>
        <v>2600</v>
      </c>
      <c r="O22">
        <f t="shared" si="6"/>
        <v>2600</v>
      </c>
      <c r="P22" s="6">
        <f t="shared" si="9"/>
        <v>-404</v>
      </c>
      <c r="Q22" s="5">
        <f t="shared" si="10"/>
        <v>0.3</v>
      </c>
    </row>
    <row r="23" spans="2:17" x14ac:dyDescent="0.15">
      <c r="B23" s="16" t="s">
        <v>88</v>
      </c>
      <c r="C23" s="31" t="s">
        <v>148</v>
      </c>
      <c r="D23" s="27"/>
      <c r="E23" s="21"/>
      <c r="F23" s="14">
        <f t="shared" si="3"/>
        <v>0</v>
      </c>
      <c r="H23" s="5">
        <v>27</v>
      </c>
      <c r="I23" s="5">
        <f t="shared" si="8"/>
        <v>0.5</v>
      </c>
      <c r="J23" s="5">
        <v>0.12</v>
      </c>
      <c r="K23" s="5">
        <v>0.25</v>
      </c>
      <c r="L23" s="5">
        <v>0.5</v>
      </c>
      <c r="M23">
        <f t="shared" si="4"/>
        <v>0</v>
      </c>
      <c r="N23">
        <f t="shared" si="5"/>
        <v>2700</v>
      </c>
      <c r="O23">
        <f t="shared" si="6"/>
        <v>2700</v>
      </c>
      <c r="P23" s="6">
        <f t="shared" si="9"/>
        <v>-215</v>
      </c>
      <c r="Q23" s="5">
        <f t="shared" si="10"/>
        <v>0.25</v>
      </c>
    </row>
    <row r="24" spans="2:17" x14ac:dyDescent="0.15">
      <c r="B24" s="16" t="s">
        <v>89</v>
      </c>
      <c r="C24" s="31" t="s">
        <v>96</v>
      </c>
      <c r="D24" s="27"/>
      <c r="E24" s="21"/>
      <c r="F24" s="14">
        <f t="shared" si="3"/>
        <v>0</v>
      </c>
      <c r="H24" s="5">
        <v>27</v>
      </c>
      <c r="I24" s="5">
        <f t="shared" si="8"/>
        <v>0.5</v>
      </c>
      <c r="J24" s="5">
        <v>0.13</v>
      </c>
      <c r="K24" s="5">
        <v>0.25</v>
      </c>
      <c r="L24" s="5">
        <v>0.5</v>
      </c>
      <c r="M24">
        <f t="shared" si="4"/>
        <v>0</v>
      </c>
      <c r="N24">
        <f t="shared" si="5"/>
        <v>2700</v>
      </c>
      <c r="O24">
        <f t="shared" si="6"/>
        <v>2700</v>
      </c>
      <c r="P24" s="6">
        <f t="shared" si="9"/>
        <v>-215</v>
      </c>
      <c r="Q24" s="5">
        <f t="shared" si="10"/>
        <v>0.25</v>
      </c>
    </row>
    <row r="25" spans="2:17" x14ac:dyDescent="0.15">
      <c r="B25" s="16" t="s">
        <v>90</v>
      </c>
      <c r="C25" s="31" t="s">
        <v>101</v>
      </c>
      <c r="D25" s="27"/>
      <c r="E25" s="21"/>
      <c r="F25" s="14">
        <f t="shared" si="3"/>
        <v>0</v>
      </c>
      <c r="H25" s="5">
        <v>43</v>
      </c>
      <c r="I25" s="5">
        <f t="shared" si="8"/>
        <v>0.4</v>
      </c>
      <c r="J25" s="5">
        <v>0.1</v>
      </c>
      <c r="K25" s="5">
        <v>0.2</v>
      </c>
      <c r="L25" s="5">
        <v>0.4</v>
      </c>
      <c r="M25">
        <f t="shared" si="4"/>
        <v>0</v>
      </c>
      <c r="N25">
        <f t="shared" si="5"/>
        <v>4300</v>
      </c>
      <c r="O25">
        <f t="shared" si="6"/>
        <v>4300</v>
      </c>
      <c r="P25" s="6">
        <f t="shared" si="9"/>
        <v>-548</v>
      </c>
      <c r="Q25" s="5">
        <f t="shared" si="10"/>
        <v>0.2</v>
      </c>
    </row>
    <row r="26" spans="2:17" x14ac:dyDescent="0.15">
      <c r="B26" s="16" t="s">
        <v>92</v>
      </c>
      <c r="C26" s="31" t="s">
        <v>85</v>
      </c>
      <c r="D26" s="30"/>
      <c r="E26" s="21"/>
      <c r="F26" s="14">
        <f t="shared" si="3"/>
        <v>0</v>
      </c>
      <c r="H26" s="5">
        <v>26</v>
      </c>
      <c r="I26" s="5">
        <f t="shared" si="8"/>
        <v>0.5</v>
      </c>
      <c r="J26" s="5">
        <v>0.13</v>
      </c>
      <c r="K26" s="5">
        <v>0.25</v>
      </c>
      <c r="L26" s="5">
        <v>0.5</v>
      </c>
      <c r="M26">
        <f t="shared" si="4"/>
        <v>0</v>
      </c>
      <c r="N26">
        <f t="shared" si="5"/>
        <v>2600</v>
      </c>
      <c r="O26">
        <f t="shared" si="6"/>
        <v>2600</v>
      </c>
      <c r="P26" s="6">
        <f t="shared" si="9"/>
        <v>-170</v>
      </c>
      <c r="Q26" s="5">
        <f t="shared" si="10"/>
        <v>0.25</v>
      </c>
    </row>
    <row r="28" spans="2:17" x14ac:dyDescent="0.15">
      <c r="B28" s="60" t="s">
        <v>47</v>
      </c>
      <c r="C28" s="60"/>
      <c r="D28" s="60"/>
      <c r="E28" s="60"/>
      <c r="F28" s="60"/>
    </row>
    <row r="29" spans="2:17" x14ac:dyDescent="0.15">
      <c r="B29" s="60" t="s">
        <v>36</v>
      </c>
      <c r="C29" s="60"/>
      <c r="D29" s="60"/>
      <c r="E29" s="60"/>
      <c r="F29" s="60"/>
    </row>
    <row r="30" spans="2:17" x14ac:dyDescent="0.15">
      <c r="B30" s="60" t="s">
        <v>35</v>
      </c>
      <c r="C30" s="60"/>
      <c r="D30" s="60"/>
      <c r="E30" s="60"/>
      <c r="F30" s="60"/>
    </row>
    <row r="32" spans="2:17" ht="16" x14ac:dyDescent="0.2">
      <c r="B32" s="58" t="s">
        <v>146</v>
      </c>
      <c r="C32" s="59"/>
      <c r="D32" s="59"/>
      <c r="E32" s="59"/>
      <c r="F32" s="59"/>
    </row>
  </sheetData>
  <sheetProtection password="CCED" sheet="1" selectLockedCells="1"/>
  <mergeCells count="6">
    <mergeCell ref="D4:E4"/>
    <mergeCell ref="B4:C4"/>
    <mergeCell ref="B32:F32"/>
    <mergeCell ref="B28:F28"/>
    <mergeCell ref="B29:F29"/>
    <mergeCell ref="B30:F30"/>
  </mergeCells>
  <phoneticPr fontId="4" type="noConversion"/>
  <pageMargins left="0.78740157499999996" right="0.78740157499999996" top="0.984251969" bottom="0.984251969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indexed="12"/>
  </sheetPr>
  <dimension ref="A1:Q29"/>
  <sheetViews>
    <sheetView showGridLines="0" showRowColHeaders="0" showOutlineSymbols="0" workbookViewId="0">
      <selection activeCell="E20" sqref="E20"/>
    </sheetView>
  </sheetViews>
  <sheetFormatPr baseColWidth="10" defaultColWidth="8.83203125" defaultRowHeight="13" x14ac:dyDescent="0.15"/>
  <cols>
    <col min="1" max="1" width="11.5" customWidth="1"/>
    <col min="2" max="2" width="15.33203125" customWidth="1"/>
    <col min="3" max="3" width="13.83203125" customWidth="1"/>
    <col min="4" max="6" width="11.5" customWidth="1"/>
    <col min="7" max="7" width="5.33203125" customWidth="1"/>
    <col min="8" max="8" width="9.1640625" hidden="1" customWidth="1"/>
    <col min="9" max="9" width="8.33203125" hidden="1" customWidth="1"/>
    <col min="10" max="10" width="7.83203125" hidden="1" customWidth="1"/>
    <col min="11" max="11" width="7" hidden="1" customWidth="1"/>
    <col min="12" max="12" width="7.5" hidden="1" customWidth="1"/>
    <col min="13" max="13" width="6.6640625" hidden="1" customWidth="1"/>
    <col min="14" max="15" width="7.33203125" hidden="1" customWidth="1"/>
    <col min="16" max="16" width="13" hidden="1" customWidth="1"/>
    <col min="17" max="17" width="6.832031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77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56" t="s">
        <v>1</v>
      </c>
      <c r="E4" s="57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7" t="s">
        <v>32</v>
      </c>
      <c r="E5" s="38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6" t="s">
        <v>68</v>
      </c>
      <c r="C6" s="18"/>
      <c r="D6" s="26"/>
      <c r="E6" s="21"/>
      <c r="F6" s="14">
        <f>IF(P6&lt;0,0,IF(E6=0,0,ROUNDDOWN(P6,0)))</f>
        <v>0</v>
      </c>
      <c r="H6" s="5">
        <v>6.6</v>
      </c>
      <c r="I6" s="5">
        <v>3.5</v>
      </c>
      <c r="J6" s="5"/>
      <c r="M6">
        <f>E6*100</f>
        <v>0</v>
      </c>
      <c r="N6">
        <f>H6*100</f>
        <v>660</v>
      </c>
      <c r="O6">
        <f>N6-M6</f>
        <v>660</v>
      </c>
      <c r="P6" s="6">
        <f>1000+O6*I6</f>
        <v>3310</v>
      </c>
    </row>
    <row r="7" spans="1:17" x14ac:dyDescent="0.15">
      <c r="B7" s="16" t="s">
        <v>8</v>
      </c>
      <c r="C7" s="19"/>
      <c r="D7" s="27"/>
      <c r="E7" s="21"/>
      <c r="F7" s="14">
        <f>IF(P7&lt;0,0,IF(E7=0,0,ROUNDDOWN(P7,0)))</f>
        <v>0</v>
      </c>
      <c r="H7" s="5">
        <v>9.1999999999999993</v>
      </c>
      <c r="I7" s="5">
        <v>2.7</v>
      </c>
      <c r="J7" s="5"/>
      <c r="M7">
        <f>E7*100</f>
        <v>0</v>
      </c>
      <c r="N7">
        <f>H7*100</f>
        <v>919.99999999999989</v>
      </c>
      <c r="O7">
        <f>N7-M7</f>
        <v>919.99999999999989</v>
      </c>
      <c r="P7" s="6">
        <f>1000+O7*I7</f>
        <v>3484</v>
      </c>
    </row>
    <row r="8" spans="1:17" x14ac:dyDescent="0.15">
      <c r="B8" s="16" t="s">
        <v>69</v>
      </c>
      <c r="C8" s="19"/>
      <c r="D8" s="27"/>
      <c r="E8" s="21"/>
      <c r="F8" s="14">
        <f>IF(P8&lt;0,0,IF(E8=0,0,ROUNDDOWN(P8,0)))</f>
        <v>0</v>
      </c>
      <c r="H8" s="5">
        <v>12.15</v>
      </c>
      <c r="I8" s="5">
        <v>2.2000000000000002</v>
      </c>
      <c r="J8" s="5"/>
      <c r="M8">
        <f>E8*100</f>
        <v>0</v>
      </c>
      <c r="N8">
        <f>H8*100</f>
        <v>1215</v>
      </c>
      <c r="O8">
        <f>N8-M8</f>
        <v>1215</v>
      </c>
      <c r="P8" s="6">
        <f>1000+O8*I8</f>
        <v>3673</v>
      </c>
    </row>
    <row r="9" spans="1:17" x14ac:dyDescent="0.15">
      <c r="B9" s="15" t="s">
        <v>9</v>
      </c>
      <c r="C9" s="19"/>
      <c r="D9" s="23"/>
      <c r="E9" s="22"/>
      <c r="F9" s="14">
        <f>IF(P9&lt;0,0,IF(AND(E9=0,D9=0),0,ROUNDDOWN(P9,0)))</f>
        <v>0</v>
      </c>
      <c r="H9" s="5">
        <v>112</v>
      </c>
      <c r="I9" s="5">
        <v>2.6</v>
      </c>
      <c r="J9" s="5"/>
      <c r="M9">
        <f>(D9*60+E9)*10</f>
        <v>0</v>
      </c>
      <c r="N9">
        <f>H9*10</f>
        <v>1120</v>
      </c>
      <c r="O9">
        <f>N9-M9</f>
        <v>1120</v>
      </c>
      <c r="P9" s="6">
        <f>1000+O9*I9</f>
        <v>3912</v>
      </c>
    </row>
    <row r="10" spans="1:17" x14ac:dyDescent="0.15">
      <c r="B10" s="16" t="s">
        <v>79</v>
      </c>
      <c r="C10" s="31" t="s">
        <v>97</v>
      </c>
      <c r="D10" s="49"/>
      <c r="E10" s="21"/>
      <c r="F10" s="14">
        <f>IF(P10&lt;0,0,IF(E10=0,0,ROUNDDOWN(P10,0)))</f>
        <v>0</v>
      </c>
      <c r="H10" s="5">
        <v>11.3</v>
      </c>
      <c r="I10" s="5">
        <v>2</v>
      </c>
      <c r="J10" s="5"/>
      <c r="M10">
        <f>E10*100</f>
        <v>0</v>
      </c>
      <c r="N10">
        <f>H10*100</f>
        <v>1130</v>
      </c>
      <c r="O10">
        <f>N10-M10</f>
        <v>1130</v>
      </c>
      <c r="P10" s="6">
        <f>1000+O10*I10</f>
        <v>3260</v>
      </c>
    </row>
    <row r="11" spans="1:17" ht="16" x14ac:dyDescent="0.2">
      <c r="B11" s="7"/>
      <c r="C11" s="7"/>
      <c r="D11" s="7"/>
      <c r="E11" s="35" t="s">
        <v>34</v>
      </c>
      <c r="F11" s="4"/>
      <c r="G11" s="4"/>
      <c r="H11" s="8"/>
      <c r="I11" s="8"/>
      <c r="J11" s="8"/>
      <c r="K11" s="4"/>
      <c r="L11" s="4"/>
      <c r="M11" s="4"/>
      <c r="N11" s="4"/>
      <c r="O11" s="4"/>
      <c r="P11" s="4"/>
      <c r="Q11" s="4"/>
    </row>
    <row r="12" spans="1:17" x14ac:dyDescent="0.15">
      <c r="B12" s="16" t="s">
        <v>10</v>
      </c>
      <c r="C12" s="18"/>
      <c r="D12" s="26"/>
      <c r="E12" s="21"/>
      <c r="F12" s="14">
        <f t="shared" ref="F12:F23" si="0">IF(P12&lt;0,0,IF(E12=0,0,ROUNDDOWN(P12,0)))</f>
        <v>0</v>
      </c>
      <c r="H12" s="5">
        <v>1.25</v>
      </c>
      <c r="I12" s="5">
        <v>7</v>
      </c>
      <c r="J12" s="5"/>
      <c r="M12">
        <f t="shared" ref="M12:M23" si="1">E12*100</f>
        <v>0</v>
      </c>
      <c r="N12">
        <f t="shared" ref="N12:N23" si="2">H12*100</f>
        <v>125</v>
      </c>
      <c r="O12">
        <f t="shared" ref="O12:O23" si="3">N12-M12</f>
        <v>125</v>
      </c>
      <c r="P12" s="6">
        <f t="shared" ref="P12:P17" si="4">1000-O12*I12</f>
        <v>125</v>
      </c>
    </row>
    <row r="13" spans="1:17" x14ac:dyDescent="0.15">
      <c r="B13" s="16" t="s">
        <v>27</v>
      </c>
      <c r="C13" s="19"/>
      <c r="D13" s="27"/>
      <c r="E13" s="21"/>
      <c r="F13" s="14">
        <f t="shared" si="0"/>
        <v>0</v>
      </c>
      <c r="H13" s="5">
        <v>1</v>
      </c>
      <c r="I13" s="5">
        <v>8.5</v>
      </c>
      <c r="J13" s="5"/>
      <c r="M13">
        <f t="shared" si="1"/>
        <v>0</v>
      </c>
      <c r="N13">
        <f t="shared" si="2"/>
        <v>100</v>
      </c>
      <c r="O13">
        <f t="shared" si="3"/>
        <v>100</v>
      </c>
      <c r="P13" s="6">
        <f t="shared" si="4"/>
        <v>150</v>
      </c>
    </row>
    <row r="14" spans="1:17" x14ac:dyDescent="0.15">
      <c r="B14" s="16" t="s">
        <v>28</v>
      </c>
      <c r="C14" s="19"/>
      <c r="D14" s="27"/>
      <c r="E14" s="21"/>
      <c r="F14" s="14">
        <f t="shared" si="0"/>
        <v>0</v>
      </c>
      <c r="H14" s="5">
        <v>2</v>
      </c>
      <c r="I14" s="5">
        <f>IF(E14&lt;0.8*H14,L14,Q14)</f>
        <v>7</v>
      </c>
      <c r="J14" s="5">
        <v>1.7</v>
      </c>
      <c r="K14" s="5">
        <v>3.5</v>
      </c>
      <c r="L14" s="5">
        <v>7</v>
      </c>
      <c r="M14">
        <f t="shared" si="1"/>
        <v>0</v>
      </c>
      <c r="N14">
        <f t="shared" si="2"/>
        <v>200</v>
      </c>
      <c r="O14">
        <f t="shared" si="3"/>
        <v>200</v>
      </c>
      <c r="P14" s="6">
        <f>IF(E14&lt;0.8*H14,1000-((N14-0.8*N14)*K14+(O14-(N14-N14*0.8))*L14),1000-O14*I14)</f>
        <v>-260</v>
      </c>
      <c r="Q14" s="5">
        <f>IF(E14&gt;H14,J14,K14)</f>
        <v>3.5</v>
      </c>
    </row>
    <row r="15" spans="1:17" x14ac:dyDescent="0.15">
      <c r="B15" s="16" t="s">
        <v>11</v>
      </c>
      <c r="C15" s="19"/>
      <c r="D15" s="27"/>
      <c r="E15" s="21"/>
      <c r="F15" s="14">
        <f t="shared" si="0"/>
        <v>0</v>
      </c>
      <c r="H15" s="5">
        <v>4.1500000000000004</v>
      </c>
      <c r="I15" s="5">
        <v>2</v>
      </c>
      <c r="J15" s="5"/>
      <c r="M15">
        <f t="shared" si="1"/>
        <v>0</v>
      </c>
      <c r="N15">
        <f t="shared" si="2"/>
        <v>415.00000000000006</v>
      </c>
      <c r="O15">
        <f t="shared" si="3"/>
        <v>415.00000000000006</v>
      </c>
      <c r="P15" s="6">
        <f t="shared" si="4"/>
        <v>169.99999999999989</v>
      </c>
    </row>
    <row r="16" spans="1:17" x14ac:dyDescent="0.15">
      <c r="B16" s="16" t="s">
        <v>29</v>
      </c>
      <c r="C16" s="19"/>
      <c r="D16" s="27"/>
      <c r="E16" s="21"/>
      <c r="F16" s="14">
        <f t="shared" si="0"/>
        <v>0</v>
      </c>
      <c r="H16" s="5">
        <v>2.1</v>
      </c>
      <c r="I16" s="5">
        <v>5</v>
      </c>
      <c r="J16" s="5"/>
      <c r="M16">
        <f t="shared" si="1"/>
        <v>0</v>
      </c>
      <c r="N16">
        <f t="shared" si="2"/>
        <v>210</v>
      </c>
      <c r="O16">
        <f t="shared" si="3"/>
        <v>210</v>
      </c>
      <c r="P16" s="6">
        <f t="shared" si="4"/>
        <v>-50</v>
      </c>
    </row>
    <row r="17" spans="2:17" x14ac:dyDescent="0.15">
      <c r="B17" s="16" t="s">
        <v>30</v>
      </c>
      <c r="C17" s="20"/>
      <c r="D17" s="27"/>
      <c r="E17" s="21"/>
      <c r="F17" s="14">
        <f t="shared" si="0"/>
        <v>0</v>
      </c>
      <c r="H17" s="5">
        <v>8.1999999999999993</v>
      </c>
      <c r="I17" s="5">
        <v>1</v>
      </c>
      <c r="J17" s="5"/>
      <c r="M17">
        <f t="shared" si="1"/>
        <v>0</v>
      </c>
      <c r="N17">
        <f t="shared" si="2"/>
        <v>819.99999999999989</v>
      </c>
      <c r="O17">
        <f t="shared" si="3"/>
        <v>819.99999999999989</v>
      </c>
      <c r="P17" s="6">
        <f t="shared" si="4"/>
        <v>180.00000000000011</v>
      </c>
    </row>
    <row r="18" spans="2:17" x14ac:dyDescent="0.15">
      <c r="B18" s="16" t="s">
        <v>86</v>
      </c>
      <c r="C18" s="31" t="s">
        <v>94</v>
      </c>
      <c r="D18" s="27"/>
      <c r="E18" s="21"/>
      <c r="F18" s="14">
        <f t="shared" si="0"/>
        <v>0</v>
      </c>
      <c r="H18" s="5">
        <v>8.5</v>
      </c>
      <c r="I18" s="5">
        <f t="shared" ref="I18:I23" si="5">IF(E18&lt;0.8*H18,L18,Q18)</f>
        <v>1.2</v>
      </c>
      <c r="J18" s="5">
        <v>0.3</v>
      </c>
      <c r="K18" s="5">
        <v>0.6</v>
      </c>
      <c r="L18" s="5">
        <v>1.2</v>
      </c>
      <c r="M18">
        <f t="shared" si="1"/>
        <v>0</v>
      </c>
      <c r="N18">
        <f t="shared" si="2"/>
        <v>850</v>
      </c>
      <c r="O18">
        <f t="shared" si="3"/>
        <v>850</v>
      </c>
      <c r="P18" s="6">
        <f t="shared" ref="P18:P23" si="6">IF(E18&lt;0.8*H18,1000-((N18-0.8*N18)*K18+(O18-(N18-N18*0.8))*L18),1000-O18*I18)</f>
        <v>82</v>
      </c>
      <c r="Q18" s="5">
        <f t="shared" ref="Q18:Q23" si="7">IF(E18&gt;H18,J18,K18)</f>
        <v>0.6</v>
      </c>
    </row>
    <row r="19" spans="2:17" x14ac:dyDescent="0.15">
      <c r="B19" s="16" t="s">
        <v>87</v>
      </c>
      <c r="C19" s="31" t="s">
        <v>95</v>
      </c>
      <c r="D19" s="27"/>
      <c r="E19" s="21"/>
      <c r="F19" s="14">
        <f t="shared" si="0"/>
        <v>0</v>
      </c>
      <c r="H19" s="5">
        <v>22</v>
      </c>
      <c r="I19" s="5">
        <f t="shared" si="5"/>
        <v>0.5</v>
      </c>
      <c r="J19" s="5">
        <v>0.13</v>
      </c>
      <c r="K19" s="5">
        <v>0.25</v>
      </c>
      <c r="L19" s="5">
        <v>0.5</v>
      </c>
      <c r="M19">
        <f t="shared" si="1"/>
        <v>0</v>
      </c>
      <c r="N19">
        <f t="shared" si="2"/>
        <v>2200</v>
      </c>
      <c r="O19">
        <f t="shared" si="3"/>
        <v>2200</v>
      </c>
      <c r="P19" s="6">
        <f t="shared" si="6"/>
        <v>10</v>
      </c>
      <c r="Q19" s="5">
        <f t="shared" si="7"/>
        <v>0.25</v>
      </c>
    </row>
    <row r="20" spans="2:17" x14ac:dyDescent="0.15">
      <c r="B20" s="16" t="s">
        <v>88</v>
      </c>
      <c r="C20" s="31" t="s">
        <v>148</v>
      </c>
      <c r="D20" s="27"/>
      <c r="E20" s="21"/>
      <c r="F20" s="14">
        <f t="shared" si="0"/>
        <v>0</v>
      </c>
      <c r="H20" s="5">
        <v>22</v>
      </c>
      <c r="I20" s="5">
        <f t="shared" si="5"/>
        <v>0.4</v>
      </c>
      <c r="J20" s="5">
        <v>0.1</v>
      </c>
      <c r="K20" s="5">
        <v>0.2</v>
      </c>
      <c r="L20" s="5">
        <v>0.4</v>
      </c>
      <c r="M20">
        <f t="shared" si="1"/>
        <v>0</v>
      </c>
      <c r="N20">
        <f t="shared" si="2"/>
        <v>2200</v>
      </c>
      <c r="O20">
        <f t="shared" si="3"/>
        <v>2200</v>
      </c>
      <c r="P20" s="6">
        <f t="shared" si="6"/>
        <v>208</v>
      </c>
      <c r="Q20" s="5">
        <f t="shared" si="7"/>
        <v>0.2</v>
      </c>
    </row>
    <row r="21" spans="2:17" x14ac:dyDescent="0.15">
      <c r="B21" s="16" t="s">
        <v>89</v>
      </c>
      <c r="C21" s="31" t="s">
        <v>96</v>
      </c>
      <c r="D21" s="27"/>
      <c r="E21" s="21"/>
      <c r="F21" s="14">
        <f t="shared" si="0"/>
        <v>0</v>
      </c>
      <c r="H21" s="5">
        <v>25</v>
      </c>
      <c r="I21" s="5">
        <f t="shared" si="5"/>
        <v>0.4</v>
      </c>
      <c r="J21" s="5">
        <v>0.1</v>
      </c>
      <c r="K21" s="5">
        <v>0.2</v>
      </c>
      <c r="L21" s="5">
        <v>0.4</v>
      </c>
      <c r="M21">
        <f t="shared" si="1"/>
        <v>0</v>
      </c>
      <c r="N21">
        <f t="shared" si="2"/>
        <v>2500</v>
      </c>
      <c r="O21">
        <f t="shared" si="3"/>
        <v>2500</v>
      </c>
      <c r="P21" s="6">
        <f t="shared" si="6"/>
        <v>100</v>
      </c>
      <c r="Q21" s="5">
        <f t="shared" si="7"/>
        <v>0.2</v>
      </c>
    </row>
    <row r="22" spans="2:17" x14ac:dyDescent="0.15">
      <c r="B22" s="16" t="s">
        <v>90</v>
      </c>
      <c r="C22" s="31" t="s">
        <v>101</v>
      </c>
      <c r="D22" s="27"/>
      <c r="E22" s="21"/>
      <c r="F22" s="14">
        <f t="shared" si="0"/>
        <v>0</v>
      </c>
      <c r="H22" s="5">
        <v>48</v>
      </c>
      <c r="I22" s="5">
        <f t="shared" si="5"/>
        <v>0.3</v>
      </c>
      <c r="J22" s="5">
        <v>0.08</v>
      </c>
      <c r="K22" s="5">
        <v>0.15</v>
      </c>
      <c r="L22" s="5">
        <v>0.3</v>
      </c>
      <c r="M22">
        <f t="shared" si="1"/>
        <v>0</v>
      </c>
      <c r="N22">
        <f t="shared" si="2"/>
        <v>4800</v>
      </c>
      <c r="O22">
        <f t="shared" si="3"/>
        <v>4800</v>
      </c>
      <c r="P22" s="6">
        <f t="shared" si="6"/>
        <v>-296</v>
      </c>
      <c r="Q22" s="5">
        <f t="shared" si="7"/>
        <v>0.15</v>
      </c>
    </row>
    <row r="23" spans="2:17" x14ac:dyDescent="0.15">
      <c r="B23" s="16" t="s">
        <v>92</v>
      </c>
      <c r="C23" s="31" t="s">
        <v>85</v>
      </c>
      <c r="D23" s="30"/>
      <c r="E23" s="21"/>
      <c r="F23" s="14">
        <f t="shared" si="0"/>
        <v>0</v>
      </c>
      <c r="H23" s="5">
        <v>24</v>
      </c>
      <c r="I23" s="5">
        <f t="shared" si="5"/>
        <v>0.3</v>
      </c>
      <c r="J23" s="5">
        <v>0.08</v>
      </c>
      <c r="K23" s="5">
        <v>0.15</v>
      </c>
      <c r="L23" s="5">
        <v>0.3</v>
      </c>
      <c r="M23">
        <f t="shared" si="1"/>
        <v>0</v>
      </c>
      <c r="N23">
        <f t="shared" si="2"/>
        <v>2400</v>
      </c>
      <c r="O23">
        <f t="shared" si="3"/>
        <v>2400</v>
      </c>
      <c r="P23" s="6">
        <f t="shared" si="6"/>
        <v>352</v>
      </c>
      <c r="Q23" s="5">
        <f t="shared" si="7"/>
        <v>0.15</v>
      </c>
    </row>
    <row r="25" spans="2:17" x14ac:dyDescent="0.15">
      <c r="B25" s="60" t="s">
        <v>47</v>
      </c>
      <c r="C25" s="60"/>
      <c r="D25" s="60"/>
      <c r="E25" s="60"/>
      <c r="F25" s="60"/>
    </row>
    <row r="26" spans="2:17" x14ac:dyDescent="0.15">
      <c r="B26" s="60" t="s">
        <v>36</v>
      </c>
      <c r="C26" s="60"/>
      <c r="D26" s="60"/>
      <c r="E26" s="60"/>
      <c r="F26" s="60"/>
    </row>
    <row r="27" spans="2:17" x14ac:dyDescent="0.15">
      <c r="B27" s="60" t="s">
        <v>35</v>
      </c>
      <c r="C27" s="60"/>
      <c r="D27" s="60"/>
      <c r="E27" s="60"/>
      <c r="F27" s="60"/>
    </row>
    <row r="29" spans="2:17" s="32" customFormat="1" ht="16" x14ac:dyDescent="0.2">
      <c r="B29" s="58" t="s">
        <v>146</v>
      </c>
      <c r="C29" s="59"/>
      <c r="D29" s="59"/>
      <c r="E29" s="59"/>
      <c r="F29" s="59"/>
    </row>
  </sheetData>
  <sheetProtection password="CCED" sheet="1" selectLockedCells="1"/>
  <mergeCells count="6">
    <mergeCell ref="D4:E4"/>
    <mergeCell ref="B4:C4"/>
    <mergeCell ref="B29:F29"/>
    <mergeCell ref="B25:F25"/>
    <mergeCell ref="B26:F26"/>
    <mergeCell ref="B27:F27"/>
  </mergeCells>
  <phoneticPr fontId="4" type="noConversion"/>
  <pageMargins left="0.78740157499999996" right="0.78740157499999996" top="0.984251969" bottom="0.984251969" header="0.5" footer="0.5"/>
  <headerFooter alignWithMargins="0"/>
  <cellWatches>
    <cellWatch r="I20"/>
  </cellWatch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indexed="10"/>
  </sheetPr>
  <dimension ref="A1:Q29"/>
  <sheetViews>
    <sheetView showGridLines="0" showRowColHeaders="0" showOutlineSymbols="0" workbookViewId="0">
      <selection activeCell="E20" sqref="E20"/>
    </sheetView>
  </sheetViews>
  <sheetFormatPr baseColWidth="10" defaultColWidth="8.83203125" defaultRowHeight="13" x14ac:dyDescent="0.15"/>
  <cols>
    <col min="1" max="1" width="11.5" customWidth="1"/>
    <col min="2" max="2" width="15.1640625" customWidth="1"/>
    <col min="3" max="3" width="12" customWidth="1"/>
    <col min="4" max="6" width="11.5" customWidth="1"/>
    <col min="7" max="7" width="6" customWidth="1"/>
    <col min="8" max="8" width="8.83203125" hidden="1" customWidth="1"/>
    <col min="9" max="9" width="7.83203125" hidden="1" customWidth="1"/>
    <col min="10" max="10" width="7.5" hidden="1" customWidth="1"/>
    <col min="11" max="11" width="7.33203125" hidden="1" customWidth="1"/>
    <col min="12" max="12" width="7.6640625" hidden="1" customWidth="1"/>
    <col min="13" max="13" width="6" hidden="1" customWidth="1"/>
    <col min="14" max="15" width="6.6640625" hidden="1" customWidth="1"/>
    <col min="16" max="16" width="13" hidden="1" customWidth="1"/>
    <col min="17" max="17" width="5.83203125" hidden="1" customWidth="1"/>
    <col min="18" max="256" width="11.5" customWidth="1"/>
  </cols>
  <sheetData>
    <row r="1" spans="1:17" ht="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" x14ac:dyDescent="0.25">
      <c r="B2" s="2" t="s">
        <v>78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6" x14ac:dyDescent="0.2">
      <c r="B4" s="56" t="s">
        <v>0</v>
      </c>
      <c r="C4" s="57"/>
      <c r="D4" s="61" t="s">
        <v>1</v>
      </c>
      <c r="E4" s="61"/>
      <c r="F4" s="36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</row>
    <row r="5" spans="1:17" ht="16" x14ac:dyDescent="0.2">
      <c r="B5" s="4"/>
      <c r="C5" s="4"/>
      <c r="D5" s="39" t="s">
        <v>32</v>
      </c>
      <c r="E5" s="39" t="s">
        <v>33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15">
      <c r="B6" s="15" t="s">
        <v>68</v>
      </c>
      <c r="C6" s="18"/>
      <c r="D6" s="26"/>
      <c r="E6" s="22"/>
      <c r="F6" s="14">
        <f>IF(P6&lt;0,0,IF(E6=0,0,ROUNDDOWN(P6,0)))</f>
        <v>0</v>
      </c>
      <c r="H6" s="5">
        <v>6.6</v>
      </c>
      <c r="I6" s="5">
        <v>3.5</v>
      </c>
      <c r="J6" s="5"/>
      <c r="M6">
        <f>E6*100</f>
        <v>0</v>
      </c>
      <c r="N6">
        <f>H6*100</f>
        <v>660</v>
      </c>
      <c r="O6">
        <f>N6-M6</f>
        <v>660</v>
      </c>
      <c r="P6" s="6">
        <f>1000+O6*I6</f>
        <v>3310</v>
      </c>
    </row>
    <row r="7" spans="1:17" x14ac:dyDescent="0.15">
      <c r="B7" s="15" t="s">
        <v>8</v>
      </c>
      <c r="C7" s="19"/>
      <c r="D7" s="27"/>
      <c r="E7" s="22"/>
      <c r="F7" s="14">
        <f>IF(P7&lt;0,0,IF(E7=0,0,ROUNDDOWN(P7,0)))</f>
        <v>0</v>
      </c>
      <c r="H7" s="5">
        <v>9.25</v>
      </c>
      <c r="I7" s="5">
        <v>2.7</v>
      </c>
      <c r="J7" s="5"/>
      <c r="M7">
        <f>E7*100</f>
        <v>0</v>
      </c>
      <c r="N7">
        <f>H7*100</f>
        <v>925</v>
      </c>
      <c r="O7">
        <f>N7-M7</f>
        <v>925</v>
      </c>
      <c r="P7" s="6">
        <f>1000+O7*I7</f>
        <v>3497.5</v>
      </c>
    </row>
    <row r="8" spans="1:17" x14ac:dyDescent="0.15">
      <c r="B8" s="16" t="s">
        <v>69</v>
      </c>
      <c r="C8" s="19"/>
      <c r="D8" s="27"/>
      <c r="E8" s="21"/>
      <c r="F8" s="14">
        <f>IF(P8&lt;0,0,IF(E8=0,0,ROUNDDOWN(P8,0)))</f>
        <v>0</v>
      </c>
      <c r="H8" s="5">
        <v>12.2</v>
      </c>
      <c r="I8" s="5">
        <v>2.1</v>
      </c>
      <c r="J8" s="5"/>
      <c r="M8">
        <f>E8*100</f>
        <v>0</v>
      </c>
      <c r="N8">
        <f>H8*100</f>
        <v>1220</v>
      </c>
      <c r="O8">
        <f>N8-M8</f>
        <v>1220</v>
      </c>
      <c r="P8" s="6">
        <f>1000+O8*I8</f>
        <v>3562</v>
      </c>
    </row>
    <row r="9" spans="1:17" x14ac:dyDescent="0.15">
      <c r="B9" s="15" t="s">
        <v>9</v>
      </c>
      <c r="C9" s="19"/>
      <c r="D9" s="24"/>
      <c r="E9" s="22"/>
      <c r="F9" s="14">
        <f>IF(P9&lt;0,0,IF(AND(E9=0,D9=0),0,ROUNDDOWN(P9,0)))</f>
        <v>0</v>
      </c>
      <c r="H9" s="5">
        <v>115</v>
      </c>
      <c r="I9" s="5">
        <v>2.4</v>
      </c>
      <c r="J9" s="5"/>
      <c r="M9">
        <f>(D9*60+E9)*10</f>
        <v>0</v>
      </c>
      <c r="N9">
        <f>H9*10</f>
        <v>1150</v>
      </c>
      <c r="O9">
        <f>N9-M9</f>
        <v>1150</v>
      </c>
      <c r="P9" s="6">
        <f>1000+O9*I9</f>
        <v>3760</v>
      </c>
    </row>
    <row r="10" spans="1:17" x14ac:dyDescent="0.15">
      <c r="B10" s="16" t="s">
        <v>79</v>
      </c>
      <c r="C10" s="31" t="s">
        <v>97</v>
      </c>
      <c r="D10" s="49"/>
      <c r="E10" s="21"/>
      <c r="F10" s="14">
        <f>IF(P10&lt;0,0,IF(E10=0,0,ROUNDDOWN(P10,0)))</f>
        <v>0</v>
      </c>
      <c r="H10" s="5">
        <v>11.6</v>
      </c>
      <c r="I10" s="5">
        <v>1.9</v>
      </c>
      <c r="J10" s="5"/>
      <c r="M10">
        <f>E10*100</f>
        <v>0</v>
      </c>
      <c r="N10">
        <f>H10*100</f>
        <v>1160</v>
      </c>
      <c r="O10">
        <f>N10-M10</f>
        <v>1160</v>
      </c>
      <c r="P10" s="6">
        <f>1000+O10*I10</f>
        <v>3204</v>
      </c>
    </row>
    <row r="11" spans="1:17" ht="16" x14ac:dyDescent="0.2">
      <c r="B11" s="7"/>
      <c r="C11" s="7"/>
      <c r="D11" s="7"/>
      <c r="E11" s="39" t="s">
        <v>34</v>
      </c>
      <c r="F11" s="4"/>
      <c r="G11" s="4"/>
      <c r="H11" s="8"/>
      <c r="I11" s="8"/>
      <c r="J11" s="8"/>
      <c r="K11" s="4"/>
      <c r="L11" s="4"/>
      <c r="M11" s="4"/>
      <c r="N11" s="4"/>
      <c r="O11" s="4"/>
      <c r="P11" s="4"/>
      <c r="Q11" s="4"/>
    </row>
    <row r="12" spans="1:17" x14ac:dyDescent="0.15">
      <c r="B12" s="16" t="s">
        <v>10</v>
      </c>
      <c r="C12" s="18"/>
      <c r="D12" s="26"/>
      <c r="E12" s="21"/>
      <c r="F12" s="14">
        <f t="shared" ref="F12:F23" si="0">IF(P12&lt;0,0,IF(E12=0,0,ROUNDDOWN(P12,0)))</f>
        <v>0</v>
      </c>
      <c r="H12" s="5">
        <v>1.22</v>
      </c>
      <c r="I12" s="5">
        <v>7.5</v>
      </c>
      <c r="J12" s="5"/>
      <c r="M12">
        <f t="shared" ref="M12:M23" si="1">E12*100</f>
        <v>0</v>
      </c>
      <c r="N12">
        <f t="shared" ref="N12:N23" si="2">H12*100</f>
        <v>122</v>
      </c>
      <c r="O12">
        <f t="shared" ref="O12:O23" si="3">N12-M12</f>
        <v>122</v>
      </c>
      <c r="P12" s="6">
        <f t="shared" ref="P12:P17" si="4">1000-O12*I12</f>
        <v>85</v>
      </c>
    </row>
    <row r="13" spans="1:17" x14ac:dyDescent="0.15">
      <c r="B13" s="16" t="s">
        <v>27</v>
      </c>
      <c r="C13" s="19"/>
      <c r="D13" s="27"/>
      <c r="E13" s="21"/>
      <c r="F13" s="14">
        <f t="shared" si="0"/>
        <v>0</v>
      </c>
      <c r="H13" s="5">
        <v>1</v>
      </c>
      <c r="I13" s="5">
        <v>9.5</v>
      </c>
      <c r="J13" s="5"/>
      <c r="M13">
        <f t="shared" si="1"/>
        <v>0</v>
      </c>
      <c r="N13">
        <f t="shared" si="2"/>
        <v>100</v>
      </c>
      <c r="O13">
        <f t="shared" si="3"/>
        <v>100</v>
      </c>
      <c r="P13" s="6">
        <f t="shared" si="4"/>
        <v>50</v>
      </c>
    </row>
    <row r="14" spans="1:17" x14ac:dyDescent="0.15">
      <c r="B14" s="16" t="s">
        <v>28</v>
      </c>
      <c r="C14" s="19"/>
      <c r="D14" s="27"/>
      <c r="E14" s="21"/>
      <c r="F14" s="14">
        <f t="shared" si="0"/>
        <v>0</v>
      </c>
      <c r="H14" s="5">
        <v>1.8</v>
      </c>
      <c r="I14" s="5">
        <f>IF(E14&lt;0.8*H14,L14,Q14)</f>
        <v>8</v>
      </c>
      <c r="J14" s="5">
        <v>2</v>
      </c>
      <c r="K14" s="5">
        <v>4</v>
      </c>
      <c r="L14" s="5">
        <v>8</v>
      </c>
      <c r="M14">
        <f t="shared" si="1"/>
        <v>0</v>
      </c>
      <c r="N14">
        <f t="shared" si="2"/>
        <v>180</v>
      </c>
      <c r="O14">
        <f t="shared" si="3"/>
        <v>180</v>
      </c>
      <c r="P14" s="6">
        <f>IF(E14&lt;0.8*H14,1000-((N14-0.8*N14)*K14+(O14-(N14-N14*0.8))*L14),1000-O14*I14)</f>
        <v>-296</v>
      </c>
      <c r="Q14" s="5">
        <f>IF(E14&gt;H14,J14,K14)</f>
        <v>4</v>
      </c>
    </row>
    <row r="15" spans="1:17" x14ac:dyDescent="0.15">
      <c r="B15" s="16" t="s">
        <v>11</v>
      </c>
      <c r="C15" s="19"/>
      <c r="D15" s="27"/>
      <c r="E15" s="21"/>
      <c r="F15" s="14">
        <f t="shared" si="0"/>
        <v>0</v>
      </c>
      <c r="H15" s="5">
        <v>4.0999999999999996</v>
      </c>
      <c r="I15" s="5">
        <v>2.1</v>
      </c>
      <c r="J15" s="5"/>
      <c r="M15">
        <f t="shared" si="1"/>
        <v>0</v>
      </c>
      <c r="N15">
        <f t="shared" si="2"/>
        <v>409.99999999999994</v>
      </c>
      <c r="O15">
        <f t="shared" si="3"/>
        <v>409.99999999999994</v>
      </c>
      <c r="P15" s="6">
        <f t="shared" si="4"/>
        <v>139.00000000000011</v>
      </c>
    </row>
    <row r="16" spans="1:17" x14ac:dyDescent="0.15">
      <c r="B16" s="16" t="s">
        <v>29</v>
      </c>
      <c r="C16" s="19"/>
      <c r="D16" s="27"/>
      <c r="E16" s="21"/>
      <c r="F16" s="14">
        <f t="shared" si="0"/>
        <v>0</v>
      </c>
      <c r="H16" s="5">
        <v>2.0499999999999998</v>
      </c>
      <c r="I16" s="5">
        <v>6</v>
      </c>
      <c r="J16" s="5"/>
      <c r="M16">
        <f t="shared" si="1"/>
        <v>0</v>
      </c>
      <c r="N16">
        <f t="shared" si="2"/>
        <v>204.99999999999997</v>
      </c>
      <c r="O16">
        <f t="shared" si="3"/>
        <v>204.99999999999997</v>
      </c>
      <c r="P16" s="6">
        <f t="shared" si="4"/>
        <v>-229.99999999999977</v>
      </c>
    </row>
    <row r="17" spans="2:17" x14ac:dyDescent="0.15">
      <c r="B17" s="16" t="s">
        <v>30</v>
      </c>
      <c r="C17" s="20"/>
      <c r="D17" s="27"/>
      <c r="E17" s="21"/>
      <c r="F17" s="14">
        <f t="shared" si="0"/>
        <v>0</v>
      </c>
      <c r="H17" s="5">
        <v>8</v>
      </c>
      <c r="I17" s="5">
        <v>1</v>
      </c>
      <c r="J17" s="5"/>
      <c r="M17">
        <f t="shared" si="1"/>
        <v>0</v>
      </c>
      <c r="N17">
        <f t="shared" si="2"/>
        <v>800</v>
      </c>
      <c r="O17">
        <f t="shared" si="3"/>
        <v>800</v>
      </c>
      <c r="P17" s="6">
        <f t="shared" si="4"/>
        <v>200</v>
      </c>
    </row>
    <row r="18" spans="2:17" x14ac:dyDescent="0.15">
      <c r="B18" s="16" t="s">
        <v>86</v>
      </c>
      <c r="C18" s="31" t="s">
        <v>82</v>
      </c>
      <c r="D18" s="27"/>
      <c r="E18" s="21"/>
      <c r="F18" s="14">
        <f t="shared" si="0"/>
        <v>0</v>
      </c>
      <c r="H18" s="5">
        <v>6.8</v>
      </c>
      <c r="I18" s="5">
        <f t="shared" ref="I18:I23" si="5">IF(E18&lt;0.8*H18,L18,Q18)</f>
        <v>1.2</v>
      </c>
      <c r="J18" s="5">
        <v>0.3</v>
      </c>
      <c r="K18" s="5">
        <v>0.6</v>
      </c>
      <c r="L18" s="5">
        <v>1.2</v>
      </c>
      <c r="M18">
        <f t="shared" si="1"/>
        <v>0</v>
      </c>
      <c r="N18">
        <f t="shared" si="2"/>
        <v>680</v>
      </c>
      <c r="O18">
        <f t="shared" si="3"/>
        <v>680</v>
      </c>
      <c r="P18" s="6">
        <f t="shared" ref="P18:P23" si="6">IF(E18&lt;0.8*H18,1000-((N18-0.8*N18)*K18+(O18-(N18-N18*0.8))*L18),1000-O18*I18)</f>
        <v>265.60000000000002</v>
      </c>
      <c r="Q18" s="5">
        <f t="shared" ref="Q18:Q23" si="7">IF(E18&gt;H18,J18,K18)</f>
        <v>0.6</v>
      </c>
    </row>
    <row r="19" spans="2:17" x14ac:dyDescent="0.15">
      <c r="B19" s="16" t="s">
        <v>87</v>
      </c>
      <c r="C19" s="31" t="s">
        <v>83</v>
      </c>
      <c r="D19" s="27"/>
      <c r="E19" s="21"/>
      <c r="F19" s="14">
        <f t="shared" si="0"/>
        <v>0</v>
      </c>
      <c r="H19" s="5">
        <v>18</v>
      </c>
      <c r="I19" s="5">
        <f t="shared" si="5"/>
        <v>0.6</v>
      </c>
      <c r="J19" s="5">
        <v>0.15</v>
      </c>
      <c r="K19" s="5">
        <v>0.3</v>
      </c>
      <c r="L19" s="5">
        <v>0.6</v>
      </c>
      <c r="M19">
        <f t="shared" si="1"/>
        <v>0</v>
      </c>
      <c r="N19">
        <f t="shared" si="2"/>
        <v>1800</v>
      </c>
      <c r="O19">
        <f t="shared" si="3"/>
        <v>1800</v>
      </c>
      <c r="P19" s="6">
        <f t="shared" si="6"/>
        <v>28</v>
      </c>
      <c r="Q19" s="5">
        <f t="shared" si="7"/>
        <v>0.3</v>
      </c>
    </row>
    <row r="20" spans="2:17" x14ac:dyDescent="0.15">
      <c r="B20" s="16" t="s">
        <v>88</v>
      </c>
      <c r="C20" s="31" t="s">
        <v>149</v>
      </c>
      <c r="D20" s="27"/>
      <c r="E20" s="21"/>
      <c r="F20" s="14">
        <f t="shared" si="0"/>
        <v>0</v>
      </c>
      <c r="H20" s="5">
        <v>20</v>
      </c>
      <c r="I20" s="5">
        <f t="shared" si="5"/>
        <v>0.5</v>
      </c>
      <c r="J20" s="5">
        <v>0.12</v>
      </c>
      <c r="K20" s="5">
        <v>0.25</v>
      </c>
      <c r="L20" s="5">
        <v>0.5</v>
      </c>
      <c r="M20">
        <f t="shared" si="1"/>
        <v>0</v>
      </c>
      <c r="N20">
        <f t="shared" si="2"/>
        <v>2000</v>
      </c>
      <c r="O20">
        <f t="shared" si="3"/>
        <v>2000</v>
      </c>
      <c r="P20" s="6">
        <f t="shared" si="6"/>
        <v>100</v>
      </c>
      <c r="Q20" s="5">
        <f t="shared" si="7"/>
        <v>0.25</v>
      </c>
    </row>
    <row r="21" spans="2:17" x14ac:dyDescent="0.15">
      <c r="B21" s="16" t="s">
        <v>89</v>
      </c>
      <c r="C21" s="31" t="s">
        <v>84</v>
      </c>
      <c r="D21" s="27"/>
      <c r="E21" s="21"/>
      <c r="F21" s="14">
        <f t="shared" si="0"/>
        <v>0</v>
      </c>
      <c r="H21" s="5">
        <v>20</v>
      </c>
      <c r="I21" s="5">
        <f t="shared" si="5"/>
        <v>0.5</v>
      </c>
      <c r="J21" s="5">
        <v>0.13</v>
      </c>
      <c r="K21" s="5">
        <v>0.25</v>
      </c>
      <c r="L21" s="5">
        <v>0.5</v>
      </c>
      <c r="M21">
        <f t="shared" si="1"/>
        <v>0</v>
      </c>
      <c r="N21">
        <f t="shared" si="2"/>
        <v>2000</v>
      </c>
      <c r="O21">
        <f t="shared" si="3"/>
        <v>2000</v>
      </c>
      <c r="P21" s="6">
        <f t="shared" si="6"/>
        <v>100</v>
      </c>
      <c r="Q21" s="5">
        <f t="shared" si="7"/>
        <v>0.25</v>
      </c>
    </row>
    <row r="22" spans="2:17" x14ac:dyDescent="0.15">
      <c r="B22" s="16" t="s">
        <v>90</v>
      </c>
      <c r="C22" s="31" t="s">
        <v>101</v>
      </c>
      <c r="D22" s="27"/>
      <c r="E22" s="21"/>
      <c r="F22" s="14">
        <f t="shared" si="0"/>
        <v>0</v>
      </c>
      <c r="H22" s="5">
        <v>38</v>
      </c>
      <c r="I22" s="5">
        <f t="shared" si="5"/>
        <v>0.4</v>
      </c>
      <c r="J22" s="5">
        <v>0.1</v>
      </c>
      <c r="K22" s="5">
        <v>0.2</v>
      </c>
      <c r="L22" s="5">
        <v>0.4</v>
      </c>
      <c r="M22">
        <f t="shared" si="1"/>
        <v>0</v>
      </c>
      <c r="N22">
        <f t="shared" si="2"/>
        <v>3800</v>
      </c>
      <c r="O22">
        <f t="shared" si="3"/>
        <v>3800</v>
      </c>
      <c r="P22" s="6">
        <f t="shared" si="6"/>
        <v>-368</v>
      </c>
      <c r="Q22" s="5">
        <f t="shared" si="7"/>
        <v>0.2</v>
      </c>
    </row>
    <row r="23" spans="2:17" x14ac:dyDescent="0.15">
      <c r="B23" s="16" t="s">
        <v>91</v>
      </c>
      <c r="C23" s="31" t="s">
        <v>85</v>
      </c>
      <c r="D23" s="30"/>
      <c r="E23" s="21"/>
      <c r="F23" s="14">
        <f t="shared" si="0"/>
        <v>0</v>
      </c>
      <c r="H23" s="5">
        <v>20</v>
      </c>
      <c r="I23" s="5">
        <f t="shared" si="5"/>
        <v>0.5</v>
      </c>
      <c r="J23" s="5">
        <v>0.13</v>
      </c>
      <c r="K23" s="5">
        <v>0.25</v>
      </c>
      <c r="L23" s="5">
        <v>0.5</v>
      </c>
      <c r="M23">
        <f t="shared" si="1"/>
        <v>0</v>
      </c>
      <c r="N23">
        <f t="shared" si="2"/>
        <v>2000</v>
      </c>
      <c r="O23">
        <f t="shared" si="3"/>
        <v>2000</v>
      </c>
      <c r="P23" s="6">
        <f t="shared" si="6"/>
        <v>100</v>
      </c>
      <c r="Q23" s="5">
        <f t="shared" si="7"/>
        <v>0.25</v>
      </c>
    </row>
    <row r="25" spans="2:17" x14ac:dyDescent="0.15">
      <c r="B25" s="60" t="s">
        <v>47</v>
      </c>
      <c r="C25" s="60"/>
      <c r="D25" s="60"/>
      <c r="E25" s="60"/>
      <c r="F25" s="60"/>
    </row>
    <row r="26" spans="2:17" x14ac:dyDescent="0.15">
      <c r="B26" s="60" t="s">
        <v>36</v>
      </c>
      <c r="C26" s="60"/>
      <c r="D26" s="60"/>
      <c r="E26" s="60"/>
      <c r="F26" s="60"/>
    </row>
    <row r="27" spans="2:17" x14ac:dyDescent="0.15">
      <c r="B27" s="60" t="s">
        <v>35</v>
      </c>
      <c r="C27" s="60"/>
      <c r="D27" s="60"/>
      <c r="E27" s="60"/>
      <c r="F27" s="60"/>
    </row>
    <row r="29" spans="2:17" ht="16" x14ac:dyDescent="0.2">
      <c r="B29" s="58" t="s">
        <v>146</v>
      </c>
      <c r="C29" s="59"/>
      <c r="D29" s="59"/>
      <c r="E29" s="59"/>
      <c r="F29" s="59"/>
    </row>
  </sheetData>
  <sheetProtection password="CCED" sheet="1" selectLockedCells="1"/>
  <mergeCells count="6">
    <mergeCell ref="D4:E4"/>
    <mergeCell ref="B4:C4"/>
    <mergeCell ref="B29:F29"/>
    <mergeCell ref="B25:F25"/>
    <mergeCell ref="B26:F26"/>
    <mergeCell ref="B27:F27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D701F970A0C049B8D451A3B53C13BC" ma:contentTypeVersion="1" ma:contentTypeDescription="Opprett et nytt dokument." ma:contentTypeScope="" ma:versionID="027044156eef813c5ed2087e295fc814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97d8b363b3fb2829a9b71c2ac15b220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Planlagt startdato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Planlagt utløpsdato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54017-6A31-4081-A625-04ACC19EF37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32CFAA-9062-46DF-A137-F9122D5875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21</vt:i4>
      </vt:variant>
      <vt:variant>
        <vt:lpstr>Navngitte områder</vt:lpstr>
      </vt:variant>
      <vt:variant>
        <vt:i4>1</vt:i4>
      </vt:variant>
    </vt:vector>
  </HeadingPairs>
  <TitlesOfParts>
    <vt:vector size="22" baseType="lpstr">
      <vt:lpstr>Forside</vt:lpstr>
      <vt:lpstr>Gutter 19 år</vt:lpstr>
      <vt:lpstr>Jenter 19 år</vt:lpstr>
      <vt:lpstr>Gutter 18 år</vt:lpstr>
      <vt:lpstr>Jenter 18 år</vt:lpstr>
      <vt:lpstr>Gutter 17 år</vt:lpstr>
      <vt:lpstr>Jenter 17 år</vt:lpstr>
      <vt:lpstr>Gutter 16 år</vt:lpstr>
      <vt:lpstr>Jenter 16 år</vt:lpstr>
      <vt:lpstr>Gutter 15 år</vt:lpstr>
      <vt:lpstr>Jenter 15 år</vt:lpstr>
      <vt:lpstr>Gutter 14 år</vt:lpstr>
      <vt:lpstr>Jenter 14 år</vt:lpstr>
      <vt:lpstr>Gutter 13 år</vt:lpstr>
      <vt:lpstr>Jenter 13 år</vt:lpstr>
      <vt:lpstr>Gutter 12 år</vt:lpstr>
      <vt:lpstr>Jenter 12 år</vt:lpstr>
      <vt:lpstr>Gutter 11 år</vt:lpstr>
      <vt:lpstr>Jenter 11 år</vt:lpstr>
      <vt:lpstr>Gutter 10 år</vt:lpstr>
      <vt:lpstr>Jenter 10 år</vt:lpstr>
      <vt:lpstr>'Jenter 13 år'!Utskriftsområde</vt:lpstr>
    </vt:vector>
  </TitlesOfParts>
  <Company>Norges Fri-idrettsforbund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 Petter Sandvig</dc:creator>
  <cp:lastModifiedBy>Simen Armond</cp:lastModifiedBy>
  <cp:lastPrinted>2010-05-21T20:05:17Z</cp:lastPrinted>
  <dcterms:created xsi:type="dcterms:W3CDTF">2003-12-15T11:42:32Z</dcterms:created>
  <dcterms:modified xsi:type="dcterms:W3CDTF">2024-06-28T15:17:26Z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ublishingExpirationDate">
    <vt:lpwstr/>
  </property>
  <property fmtid="{D5CDD505-2E9C-101B-9397-08002B2CF9AE}" pid="3" name="PublishingStartDate">
    <vt:lpwstr/>
  </property>
</Properties>
</file>